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92f4eb0c1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월별손익" sheetId="1" r:id="R06004186b32a442a"/>
    <x:sheet xmlns:r="http://schemas.openxmlformats.org/officeDocument/2006/relationships" name="02_매출원가상세" sheetId="2" r:id="R22c26903aa7b4f81"/>
    <x:sheet xmlns:r="http://schemas.openxmlformats.org/officeDocument/2006/relationships" name="03_판관비상세" sheetId="3" r:id="Rb1f3ce8322f94d01"/>
    <x:sheet xmlns:r="http://schemas.openxmlformats.org/officeDocument/2006/relationships" name="04_제품군손익" sheetId="4" r:id="R6acc7809bd8d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-#,##0"/>
    <x:numFmt numFmtId="201" formatCode="0.0%"/>
  </x:numFmts>
  <x:fonts count="7">
    <x:font>
      <x:sz val="11"/>
      <x:name val="Carlito"/>
    </x:font>
    <x:font>
      <x:sz val="10"/>
      <x:color rgb="FF0F172A"/>
      <x:name val="Aptos"/>
    </x:font>
    <x:font>
      <x:b/>
      <x:sz val="11"/>
      <x:color rgb="FFFFFFFF"/>
      <x:name val="Aptos"/>
    </x:font>
    <x:font>
      <x:sz val="8"/>
      <x:color rgb="FF94A3B8"/>
      <x:name val="Aptos"/>
    </x:font>
    <x:font>
      <x:b/>
      <x:sz val="10"/>
      <x:color rgb="FF0F172A"/>
      <x:name val="Aptos"/>
    </x:font>
    <x:font>
      <x:b/>
      <x:sz val="9"/>
      <x:color rgb="FF0F172A"/>
      <x:name val="Aptos"/>
    </x:font>
    <x:font>
      <x:sz val="9"/>
      <x:color rgb="FF9A3412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EAF3FF"/>
      </x:patternFill>
    </x:fill>
    <x:fill>
      <x:patternFill patternType="solid">
        <x:fgColor rgb="FFE2E8F0"/>
      </x:patternFill>
    </x:fill>
    <x:fill>
      <x:patternFill patternType="solid">
        <x:fgColor rgb="FFFFF7ED"/>
      </x:patternFill>
    </x:fill>
  </x:fills>
  <x:borders count="4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6" borderId="3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201" fontId="1" fillId="5" borderId="3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20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200" fontId="4" fillId="7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1" fillId="8" borderId="2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/>
    </x:xf>
    <x:xf numFmtId="0" fontId="6" fillId="8" borderId="3" xfId="0" applyNumberFormat="1" applyFont="1" applyFill="1" applyBorder="1" applyAlignment="1">
      <x:alignment vertical="center"/>
    </x:xf>
    <x:xf numFmtId="0" fontId="6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5ddbb9b4a40f3" /><Relationship Type="http://schemas.openxmlformats.org/officeDocument/2006/relationships/theme" Target="/xl/theme/theme1.xml" Id="Rc1cbfd05ecf849ae" /><Relationship Type="http://schemas.openxmlformats.org/officeDocument/2006/relationships/sharedStrings" Target="/xl/sharedStrings.xml" Id="Ra9759f963e2e42f3" /><Relationship Type="http://schemas.openxmlformats.org/officeDocument/2006/relationships/worksheet" Target="/xl/worksheets/sheet1.xml" Id="R06004186b32a442a" /><Relationship Type="http://schemas.openxmlformats.org/officeDocument/2006/relationships/worksheet" Target="/xl/worksheets/sheet2.xml" Id="R22c26903aa7b4f81" /><Relationship Type="http://schemas.openxmlformats.org/officeDocument/2006/relationships/worksheet" Target="/xl/worksheets/sheet3.xml" Id="Rb1f3ce8322f94d01" /><Relationship Type="http://schemas.openxmlformats.org/officeDocument/2006/relationships/worksheet" Target="/xl/worksheets/sheet4.xml" Id="R6acc7809bd8d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" hidden="0" customWidth="1"/>
    <x:col min="16" max="16" width="2" hidden="0" customWidth="1"/>
  </x:cols>
  <x:sheetData>
    <x:row r="1" ht="26" customHeight="1">
      <x:c r="A1" s="10" t="str">
        <x:v>항목명</x:v>
      </x:c>
      <x:c r="B1" s="10" t="str">
        <x:v>단위</x:v>
      </x:c>
      <x:c r="C1" s="10" t="str">
        <x:v>1월</x:v>
      </x:c>
      <x:c r="D1" s="10" t="str">
        <x:v>2월</x:v>
      </x:c>
      <x:c r="E1" s="10" t="str">
        <x:v>3월</x:v>
      </x:c>
      <x:c r="F1" s="10" t="str">
        <x:v>4월</x:v>
      </x:c>
      <x:c r="G1" s="10" t="str">
        <x:v>5월</x:v>
      </x:c>
      <x:c r="H1" s="10" t="str">
        <x:v>6월</x:v>
      </x:c>
      <x:c r="I1" s="10" t="str">
        <x:v>7월</x:v>
      </x:c>
      <x:c r="J1" s="10" t="str">
        <x:v>8월</x:v>
      </x:c>
      <x:c r="K1" s="10" t="str">
        <x:v>9월</x:v>
      </x:c>
      <x:c r="L1" s="10" t="str">
        <x:v>10월</x:v>
      </x:c>
      <x:c r="M1" s="10" t="str">
        <x:v>11월</x:v>
      </x:c>
      <x:c r="N1" s="10" t="str">
        <x:v>12월</x:v>
      </x:c>
      <x:c r="O1" s="18" t="str">
        <x:v>row_key</x:v>
      </x:c>
      <x:c r="P1" s="18" t="str">
        <x:v>template_version</x:v>
      </x:c>
    </x:row>
    <x:row r="2" ht="20" customHeight="1">
      <x:c r="A2" s="24" t="str">
        <x:v>Ⅰ. 매출액</x:v>
      </x:c>
      <x:c r="B2" s="24" t="str">
        <x:v>백만원</x:v>
      </x:c>
      <x:c r="C2" s="25" t="str">
        <x:f>IF(COUNT(C3,C4,C5,C6,C7)=0,"",SUM(C3,C4,C5,C6,C7))</x:f>
      </x:c>
      <x:c r="D2" s="25" t="str">
        <x:f>IF(COUNT(D3,D4,D5,D6,D7)=0,"",SUM(D3,D4,D5,D6,D7))</x:f>
      </x:c>
      <x:c r="E2" s="25" t="str">
        <x:f>IF(COUNT(E3,E4,E5,E6,E7)=0,"",SUM(E3,E4,E5,E6,E7))</x:f>
      </x:c>
      <x:c r="F2" s="25" t="str">
        <x:f>IF(COUNT(F3,F4,F5,F6,F7)=0,"",SUM(F3,F4,F5,F6,F7))</x:f>
      </x:c>
      <x:c r="G2" s="25" t="str">
        <x:f>IF(COUNT(G3,G4,G5,G6,G7)=0,"",SUM(G3,G4,G5,G6,G7))</x:f>
      </x:c>
      <x:c r="H2" s="25" t="str">
        <x:f>IF(COUNT(H3,H4,H5,H6,H7)=0,"",SUM(H3,H4,H5,H6,H7))</x:f>
      </x:c>
      <x:c r="I2" s="25" t="str">
        <x:f>IF(COUNT(I3,I4,I5,I6,I7)=0,"",SUM(I3,I4,I5,I6,I7))</x:f>
      </x:c>
      <x:c r="J2" s="25" t="str">
        <x:f>IF(COUNT(J3,J4,J5,J6,J7)=0,"",SUM(J3,J4,J5,J6,J7))</x:f>
      </x:c>
      <x:c r="K2" s="25" t="str">
        <x:f>IF(COUNT(K3,K4,K5,K6,K7)=0,"",SUM(K3,K4,K5,K6,K7))</x:f>
      </x:c>
      <x:c r="L2" s="25" t="str">
        <x:f>IF(COUNT(L3,L4,L5,L6,L7)=0,"",SUM(L3,L4,L5,L6,L7))</x:f>
      </x:c>
      <x:c r="M2" s="25" t="str">
        <x:f>IF(COUNT(M3,M4,M5,M6,M7)=0,"",SUM(M3,M4,M5,M6,M7))</x:f>
      </x:c>
      <x:c r="N2" s="25" t="str">
        <x:f>IF(COUNT(N3,N4,N5,N6,N7)=0,"",SUM(N3,N4,N5,N6,N7))</x:f>
      </x:c>
      <x:c r="O2" s="18" t="str">
        <x:v>revenue</x:v>
      </x:c>
      <x:c r="P2" s="18" t="str">
        <x:v>PNL_REPORTING_V1</x:v>
      </x:c>
    </x:row>
    <x:row r="3" ht="20" customHeight="1">
      <x:c r="A3" s="14" t="str">
        <x:v>1. 제품 매출</x:v>
      </x:c>
      <x:c r="B3" s="14" t="str">
        <x:v>백만원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18" t="str">
        <x:v>rev_product</x:v>
      </x:c>
      <x:c r="P3" s="18"/>
    </x:row>
    <x:row r="4" ht="20" customHeight="1">
      <x:c r="A4" s="14" t="str">
        <x:v>2. 반제품 매출</x:v>
      </x:c>
      <x:c r="B4" s="14" t="str">
        <x:v>백만원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18" t="str">
        <x:v>rev_semi</x:v>
      </x:c>
      <x:c r="P4" s="18"/>
    </x:row>
    <x:row r="5" ht="20" customHeight="1">
      <x:c r="A5" s="14" t="str">
        <x:v>3. 상품 매출</x:v>
      </x:c>
      <x:c r="B5" s="14" t="str">
        <x:v>백만원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18" t="str">
        <x:v>rev_merch</x:v>
      </x:c>
      <x:c r="P5" s="18"/>
    </x:row>
    <x:row r="6" ht="20" customHeight="1">
      <x:c r="A6" s="14" t="str">
        <x:v>4. 기타 매출</x:v>
      </x:c>
      <x:c r="B6" s="14" t="str">
        <x:v>백만원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18" t="str">
        <x:v>rev_other</x:v>
      </x:c>
      <x:c r="P6" s="18"/>
    </x:row>
    <x:row r="7" ht="20" customHeight="1">
      <x:c r="A7" s="14" t="str">
        <x:v>5. 판매장려금</x:v>
      </x:c>
      <x:c r="B7" s="14" t="str">
        <x:v>백만원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18" t="str">
        <x:v>rev_rebate</x:v>
      </x:c>
      <x:c r="P7" s="18"/>
    </x:row>
    <x:row r="8" ht="20" customHeight="1">
      <x:c r="A8" s="24" t="str">
        <x:v>Ⅱ. 매출수량</x:v>
      </x:c>
      <x:c r="B8" s="24" t="str">
        <x:v>-</x:v>
      </x:c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18" t="str">
        <x:v>sales_volume</x:v>
      </x:c>
      <x:c r="P8" s="18"/>
    </x:row>
    <x:row r="9" ht="20" customHeight="1">
      <x:c r="A9" s="14" t="str">
        <x:v>8인치 SW</x:v>
      </x:c>
      <x:c r="B9" s="14" t="str">
        <x:v>PCS</x:v>
      </x:c>
      <x:c r="C9" s="22" t="str">
        <x:f>IF('04_제품군손익'!E3="","",'04_제품군손익'!E3)</x:f>
      </x:c>
      <x:c r="D9" s="22" t="str">
        <x:f>IF('04_제품군손익'!F3="","",'04_제품군손익'!F3)</x:f>
      </x:c>
      <x:c r="E9" s="22" t="str">
        <x:f>IF('04_제품군손익'!G3="","",'04_제품군손익'!G3)</x:f>
      </x:c>
      <x:c r="F9" s="22" t="str">
        <x:f>IF('04_제품군손익'!H3="","",'04_제품군손익'!H3)</x:f>
      </x:c>
      <x:c r="G9" s="22" t="str">
        <x:f>IF('04_제품군손익'!I3="","",'04_제품군손익'!I3)</x:f>
      </x:c>
      <x:c r="H9" s="22" t="str">
        <x:f>IF('04_제품군손익'!J3="","",'04_제품군손익'!J3)</x:f>
      </x:c>
      <x:c r="I9" s="22" t="str">
        <x:f>IF('04_제품군손익'!K3="","",'04_제품군손익'!K3)</x:f>
      </x:c>
      <x:c r="J9" s="22" t="str">
        <x:f>IF('04_제품군손익'!L3="","",'04_제품군손익'!L3)</x:f>
      </x:c>
      <x:c r="K9" s="22" t="str">
        <x:f>IF('04_제품군손익'!M3="","",'04_제품군손익'!M3)</x:f>
      </x:c>
      <x:c r="L9" s="22" t="str">
        <x:f>IF('04_제품군손익'!N3="","",'04_제품군손익'!N3)</x:f>
      </x:c>
      <x:c r="M9" s="22" t="str">
        <x:f>IF('04_제품군손익'!O3="","",'04_제품군손익'!O3)</x:f>
      </x:c>
      <x:c r="N9" s="22" t="str">
        <x:f>IF('04_제품군손익'!P3="","",'04_제품군손익'!P3)</x:f>
      </x:c>
      <x:c r="O9" s="18" t="str">
        <x:v>volume_sw</x:v>
      </x:c>
      <x:c r="P9" s="18"/>
    </x:row>
    <x:row r="10" ht="20" customHeight="1">
      <x:c r="A10" s="14" t="str">
        <x:v>8인치 BW</x:v>
      </x:c>
      <x:c r="B10" s="14" t="str">
        <x:v>PCS</x:v>
      </x:c>
      <x:c r="C10" s="22" t="str">
        <x:f>IF('04_제품군손익'!E13="","",'04_제품군손익'!E13)</x:f>
      </x:c>
      <x:c r="D10" s="22" t="str">
        <x:f>IF('04_제품군손익'!F13="","",'04_제품군손익'!F13)</x:f>
      </x:c>
      <x:c r="E10" s="22" t="str">
        <x:f>IF('04_제품군손익'!G13="","",'04_제품군손익'!G13)</x:f>
      </x:c>
      <x:c r="F10" s="22" t="str">
        <x:f>IF('04_제품군손익'!H13="","",'04_제품군손익'!H13)</x:f>
      </x:c>
      <x:c r="G10" s="22" t="str">
        <x:f>IF('04_제품군손익'!I13="","",'04_제품군손익'!I13)</x:f>
      </x:c>
      <x:c r="H10" s="22" t="str">
        <x:f>IF('04_제품군손익'!J13="","",'04_제품군손익'!J13)</x:f>
      </x:c>
      <x:c r="I10" s="22" t="str">
        <x:f>IF('04_제품군손익'!K13="","",'04_제품군손익'!K13)</x:f>
      </x:c>
      <x:c r="J10" s="22" t="str">
        <x:f>IF('04_제품군손익'!L13="","",'04_제품군손익'!L13)</x:f>
      </x:c>
      <x:c r="K10" s="22" t="str">
        <x:f>IF('04_제품군손익'!M13="","",'04_제품군손익'!M13)</x:f>
      </x:c>
      <x:c r="L10" s="22" t="str">
        <x:f>IF('04_제품군손익'!N13="","",'04_제품군손익'!N13)</x:f>
      </x:c>
      <x:c r="M10" s="22" t="str">
        <x:f>IF('04_제품군손익'!O13="","",'04_제품군손익'!O13)</x:f>
      </x:c>
      <x:c r="N10" s="22" t="str">
        <x:f>IF('04_제품군손익'!P13="","",'04_제품군손익'!P13)</x:f>
      </x:c>
      <x:c r="O10" s="18" t="str">
        <x:v>volume_bw</x:v>
      </x:c>
      <x:c r="P10" s="18"/>
    </x:row>
    <x:row r="11" ht="20" customHeight="1">
      <x:c r="A11" s="14" t="str">
        <x:v>4인치 LC</x:v>
      </x:c>
      <x:c r="B11" s="14" t="str">
        <x:v>PCS</x:v>
      </x:c>
      <x:c r="C11" s="22" t="str">
        <x:f>IF('04_제품군손익'!E23="","",'04_제품군손익'!E23)</x:f>
      </x:c>
      <x:c r="D11" s="22" t="str">
        <x:f>IF('04_제품군손익'!F23="","",'04_제품군손익'!F23)</x:f>
      </x:c>
      <x:c r="E11" s="22" t="str">
        <x:f>IF('04_제품군손익'!G23="","",'04_제품군손익'!G23)</x:f>
      </x:c>
      <x:c r="F11" s="22" t="str">
        <x:f>IF('04_제품군손익'!H23="","",'04_제품군손익'!H23)</x:f>
      </x:c>
      <x:c r="G11" s="22" t="str">
        <x:f>IF('04_제품군손익'!I23="","",'04_제품군손익'!I23)</x:f>
      </x:c>
      <x:c r="H11" s="22" t="str">
        <x:f>IF('04_제품군손익'!J23="","",'04_제품군손익'!J23)</x:f>
      </x:c>
      <x:c r="I11" s="22" t="str">
        <x:f>IF('04_제품군손익'!K23="","",'04_제품군손익'!K23)</x:f>
      </x:c>
      <x:c r="J11" s="22" t="str">
        <x:f>IF('04_제품군손익'!L23="","",'04_제품군손익'!L23)</x:f>
      </x:c>
      <x:c r="K11" s="22" t="str">
        <x:f>IF('04_제품군손익'!M23="","",'04_제품군손익'!M23)</x:f>
      </x:c>
      <x:c r="L11" s="22" t="str">
        <x:f>IF('04_제품군손익'!N23="","",'04_제품군손익'!N23)</x:f>
      </x:c>
      <x:c r="M11" s="22" t="str">
        <x:f>IF('04_제품군손익'!O23="","",'04_제품군손익'!O23)</x:f>
      </x:c>
      <x:c r="N11" s="22" t="str">
        <x:f>IF('04_제품군손익'!P23="","",'04_제품군손익'!P23)</x:f>
      </x:c>
      <x:c r="O11" s="18" t="str">
        <x:v>volume_lc</x:v>
      </x:c>
      <x:c r="P11" s="18"/>
    </x:row>
    <x:row r="12" ht="20" customHeight="1">
      <x:c r="A12" s="14" t="str">
        <x:v>반제품 (FS)</x:v>
      </x:c>
      <x:c r="B12" s="14" t="str">
        <x:v>m</x:v>
      </x:c>
      <x:c r="C12" s="22" t="str">
        <x:f>IF('04_제품군손익'!E33="","",'04_제품군손익'!E33)</x:f>
      </x:c>
      <x:c r="D12" s="22" t="str">
        <x:f>IF('04_제품군손익'!F33="","",'04_제품군손익'!F33)</x:f>
      </x:c>
      <x:c r="E12" s="22" t="str">
        <x:f>IF('04_제품군손익'!G33="","",'04_제품군손익'!G33)</x:f>
      </x:c>
      <x:c r="F12" s="22" t="str">
        <x:f>IF('04_제품군손익'!H33="","",'04_제품군손익'!H33)</x:f>
      </x:c>
      <x:c r="G12" s="22" t="str">
        <x:f>IF('04_제품군손익'!I33="","",'04_제품군손익'!I33)</x:f>
      </x:c>
      <x:c r="H12" s="22" t="str">
        <x:f>IF('04_제품군손익'!J33="","",'04_제품군손익'!J33)</x:f>
      </x:c>
      <x:c r="I12" s="22" t="str">
        <x:f>IF('04_제품군손익'!K33="","",'04_제품군손익'!K33)</x:f>
      </x:c>
      <x:c r="J12" s="22" t="str">
        <x:f>IF('04_제품군손익'!L33="","",'04_제품군손익'!L33)</x:f>
      </x:c>
      <x:c r="K12" s="22" t="str">
        <x:f>IF('04_제품군손익'!M33="","",'04_제품군손익'!M33)</x:f>
      </x:c>
      <x:c r="L12" s="22" t="str">
        <x:f>IF('04_제품군손익'!N33="","",'04_제품군손익'!N33)</x:f>
      </x:c>
      <x:c r="M12" s="22" t="str">
        <x:f>IF('04_제품군손익'!O33="","",'04_제품군손익'!O33)</x:f>
      </x:c>
      <x:c r="N12" s="22" t="str">
        <x:f>IF('04_제품군손익'!P33="","",'04_제품군손익'!P33)</x:f>
      </x:c>
      <x:c r="O12" s="18" t="str">
        <x:v>volume_fs</x:v>
      </x:c>
      <x:c r="P12" s="18"/>
    </x:row>
    <x:row r="13" ht="20" customHeight="1">
      <x:c r="A13" s="24" t="str">
        <x:v>Ⅲ. 매출원가</x:v>
      </x:c>
      <x:c r="B13" s="24" t="str">
        <x:v>백만원</x:v>
      </x:c>
      <x:c r="C13" s="25" t="str">
        <x:f>IF(COUNT(C14,C15,C16,C17,C18)=0,"",SUM(C14,C15,C16,C17,C18))</x:f>
      </x:c>
      <x:c r="D13" s="25" t="str">
        <x:f>IF(COUNT(D14,D15,D16,D17,D18)=0,"",SUM(D14,D15,D16,D17,D18))</x:f>
      </x:c>
      <x:c r="E13" s="25" t="str">
        <x:f>IF(COUNT(E14,E15,E16,E17,E18)=0,"",SUM(E14,E15,E16,E17,E18))</x:f>
      </x:c>
      <x:c r="F13" s="25" t="str">
        <x:f>IF(COUNT(F14,F15,F16,F17,F18)=0,"",SUM(F14,F15,F16,F17,F18))</x:f>
      </x:c>
      <x:c r="G13" s="25" t="str">
        <x:f>IF(COUNT(G14,G15,G16,G17,G18)=0,"",SUM(G14,G15,G16,G17,G18))</x:f>
      </x:c>
      <x:c r="H13" s="25" t="str">
        <x:f>IF(COUNT(H14,H15,H16,H17,H18)=0,"",SUM(H14,H15,H16,H17,H18))</x:f>
      </x:c>
      <x:c r="I13" s="25" t="str">
        <x:f>IF(COUNT(I14,I15,I16,I17,I18)=0,"",SUM(I14,I15,I16,I17,I18))</x:f>
      </x:c>
      <x:c r="J13" s="25" t="str">
        <x:f>IF(COUNT(J14,J15,J16,J17,J18)=0,"",SUM(J14,J15,J16,J17,J18))</x:f>
      </x:c>
      <x:c r="K13" s="25" t="str">
        <x:f>IF(COUNT(K14,K15,K16,K17,K18)=0,"",SUM(K14,K15,K16,K17,K18))</x:f>
      </x:c>
      <x:c r="L13" s="25" t="str">
        <x:f>IF(COUNT(L14,L15,L16,L17,L18)=0,"",SUM(L14,L15,L16,L17,L18))</x:f>
      </x:c>
      <x:c r="M13" s="25" t="str">
        <x:f>IF(COUNT(M14,M15,M16,M17,M18)=0,"",SUM(M14,M15,M16,M17,M18))</x:f>
      </x:c>
      <x:c r="N13" s="25" t="str">
        <x:f>IF(COUNT(N14,N15,N16,N17,N18)=0,"",SUM(N14,N15,N16,N17,N18))</x:f>
      </x:c>
      <x:c r="O13" s="18" t="str">
        <x:v>cogs</x:v>
      </x:c>
      <x:c r="P13" s="18"/>
    </x:row>
    <x:row r="14" ht="20" customHeight="1">
      <x:c r="A14" s="14" t="str">
        <x:v>1. 제품 매출원가</x:v>
      </x:c>
      <x:c r="B14" s="14" t="str">
        <x:v>백만원</x:v>
      </x:c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18" t="str">
        <x:v>cogs_product</x:v>
      </x:c>
      <x:c r="P14" s="18"/>
    </x:row>
    <x:row r="15" ht="20" customHeight="1">
      <x:c r="A15" s="14" t="str">
        <x:v>2. 반제품 매출원가</x:v>
      </x:c>
      <x:c r="B15" s="14" t="str">
        <x:v>백만원</x:v>
      </x:c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18" t="str">
        <x:v>cogs_semi</x:v>
      </x:c>
      <x:c r="P15" s="18"/>
    </x:row>
    <x:row r="16" ht="20" customHeight="1">
      <x:c r="A16" s="14" t="str">
        <x:v>3. 상품 매출원가</x:v>
      </x:c>
      <x:c r="B16" s="14" t="str">
        <x:v>백만원</x:v>
      </x:c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18" t="str">
        <x:v>cogs_merch</x:v>
      </x:c>
      <x:c r="P16" s="18"/>
    </x:row>
    <x:row r="17" ht="20" customHeight="1">
      <x:c r="A17" s="14" t="str">
        <x:v>4. 기타 매출원가</x:v>
      </x:c>
      <x:c r="B17" s="14" t="str">
        <x:v>백만원</x:v>
      </x:c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18" t="str">
        <x:v>cogs_other</x:v>
      </x:c>
      <x:c r="P17" s="18"/>
    </x:row>
    <x:row r="18" ht="20" customHeight="1">
      <x:c r="A18" s="14" t="str">
        <x:v>5. 재고자산 평가손실</x:v>
      </x:c>
      <x:c r="B18" s="14" t="str">
        <x:v>백만원</x:v>
      </x:c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18" t="str">
        <x:v>cogs_inventory_loss</x:v>
      </x:c>
      <x:c r="P18" s="18"/>
    </x:row>
    <x:row r="19" ht="20" customHeight="1">
      <x:c r="A19" s="14" t="str">
        <x:v>매출원가율</x:v>
      </x:c>
      <x:c r="B19" s="14" t="str">
        <x:v>%</x:v>
      </x:c>
      <x:c r="C19" s="36" t="str">
        <x:f>IF(OR(C13="",C2="",C2=0),"",C13/C2)</x:f>
      </x:c>
      <x:c r="D19" s="36" t="str">
        <x:f>IF(OR(D13="",D2="",D2=0),"",D13/D2)</x:f>
      </x:c>
      <x:c r="E19" s="36" t="str">
        <x:f>IF(OR(E13="",E2="",E2=0),"",E13/E2)</x:f>
      </x:c>
      <x:c r="F19" s="36" t="str">
        <x:f>IF(OR(F13="",F2="",F2=0),"",F13/F2)</x:f>
      </x:c>
      <x:c r="G19" s="36" t="str">
        <x:f>IF(OR(G13="",G2="",G2=0),"",G13/G2)</x:f>
      </x:c>
      <x:c r="H19" s="36" t="str">
        <x:f>IF(OR(H13="",H2="",H2=0),"",H13/H2)</x:f>
      </x:c>
      <x:c r="I19" s="36" t="str">
        <x:f>IF(OR(I13="",I2="",I2=0),"",I13/I2)</x:f>
      </x:c>
      <x:c r="J19" s="36" t="str">
        <x:f>IF(OR(J13="",J2="",J2=0),"",J13/J2)</x:f>
      </x:c>
      <x:c r="K19" s="36" t="str">
        <x:f>IF(OR(K13="",K2="",K2=0),"",K13/K2)</x:f>
      </x:c>
      <x:c r="L19" s="36" t="str">
        <x:f>IF(OR(L13="",L2="",L2=0),"",L13/L2)</x:f>
      </x:c>
      <x:c r="M19" s="36" t="str">
        <x:f>IF(OR(M13="",M2="",M2=0),"",M13/M2)</x:f>
      </x:c>
      <x:c r="N19" s="36" t="str">
        <x:f>IF(OR(N13="",N2="",N2=0),"",N13/N2)</x:f>
      </x:c>
      <x:c r="O19" s="18" t="str">
        <x:v>cogs_ratio</x:v>
      </x:c>
      <x:c r="P19" s="18"/>
    </x:row>
    <x:row r="20" ht="20" customHeight="1">
      <x:c r="A20" s="24" t="str">
        <x:v>Ⅳ. 매출총이익</x:v>
      </x:c>
      <x:c r="B20" s="24" t="str">
        <x:v>백만원</x:v>
      </x:c>
      <x:c r="C20" s="25" t="str">
        <x:f>IF(OR(C2="",C13=""),"",C2-C13)</x:f>
      </x:c>
      <x:c r="D20" s="25" t="str">
        <x:f>IF(OR(D2="",D13=""),"",D2-D13)</x:f>
      </x:c>
      <x:c r="E20" s="25" t="str">
        <x:f>IF(OR(E2="",E13=""),"",E2-E13)</x:f>
      </x:c>
      <x:c r="F20" s="25" t="str">
        <x:f>IF(OR(F2="",F13=""),"",F2-F13)</x:f>
      </x:c>
      <x:c r="G20" s="25" t="str">
        <x:f>IF(OR(G2="",G13=""),"",G2-G13)</x:f>
      </x:c>
      <x:c r="H20" s="25" t="str">
        <x:f>IF(OR(H2="",H13=""),"",H2-H13)</x:f>
      </x:c>
      <x:c r="I20" s="25" t="str">
        <x:f>IF(OR(I2="",I13=""),"",I2-I13)</x:f>
      </x:c>
      <x:c r="J20" s="25" t="str">
        <x:f>IF(OR(J2="",J13=""),"",J2-J13)</x:f>
      </x:c>
      <x:c r="K20" s="25" t="str">
        <x:f>IF(OR(K2="",K13=""),"",K2-K13)</x:f>
      </x:c>
      <x:c r="L20" s="25" t="str">
        <x:f>IF(OR(L2="",L13=""),"",L2-L13)</x:f>
      </x:c>
      <x:c r="M20" s="25" t="str">
        <x:f>IF(OR(M2="",M13=""),"",M2-M13)</x:f>
      </x:c>
      <x:c r="N20" s="25" t="str">
        <x:f>IF(OR(N2="",N13=""),"",N2-N13)</x:f>
      </x:c>
      <x:c r="O20" s="18" t="str">
        <x:v>gross_profit</x:v>
      </x:c>
      <x:c r="P20" s="18"/>
    </x:row>
    <x:row r="21" ht="20" customHeight="1">
      <x:c r="A21" s="14" t="str">
        <x:v>매출총이익률</x:v>
      </x:c>
      <x:c r="B21" s="14" t="str">
        <x:v>%</x:v>
      </x:c>
      <x:c r="C21" s="36" t="str">
        <x:f>IF(OR(C20="",C2="",C2=0),"",C20/C2)</x:f>
      </x:c>
      <x:c r="D21" s="36" t="str">
        <x:f>IF(OR(D20="",D2="",D2=0),"",D20/D2)</x:f>
      </x:c>
      <x:c r="E21" s="36" t="str">
        <x:f>IF(OR(E20="",E2="",E2=0),"",E20/E2)</x:f>
      </x:c>
      <x:c r="F21" s="36" t="str">
        <x:f>IF(OR(F20="",F2="",F2=0),"",F20/F2)</x:f>
      </x:c>
      <x:c r="G21" s="36" t="str">
        <x:f>IF(OR(G20="",G2="",G2=0),"",G20/G2)</x:f>
      </x:c>
      <x:c r="H21" s="36" t="str">
        <x:f>IF(OR(H20="",H2="",H2=0),"",H20/H2)</x:f>
      </x:c>
      <x:c r="I21" s="36" t="str">
        <x:f>IF(OR(I20="",I2="",I2=0),"",I20/I2)</x:f>
      </x:c>
      <x:c r="J21" s="36" t="str">
        <x:f>IF(OR(J20="",J2="",J2=0),"",J20/J2)</x:f>
      </x:c>
      <x:c r="K21" s="36" t="str">
        <x:f>IF(OR(K20="",K2="",K2=0),"",K20/K2)</x:f>
      </x:c>
      <x:c r="L21" s="36" t="str">
        <x:f>IF(OR(L20="",L2="",L2=0),"",L20/L2)</x:f>
      </x:c>
      <x:c r="M21" s="36" t="str">
        <x:f>IF(OR(M20="",M2="",M2=0),"",M20/M2)</x:f>
      </x:c>
      <x:c r="N21" s="36" t="str">
        <x:f>IF(OR(N20="",N2="",N2=0),"",N20/N2)</x:f>
      </x:c>
      <x:c r="O21" s="18" t="str">
        <x:v>gross_margin</x:v>
      </x:c>
      <x:c r="P21" s="18"/>
    </x:row>
    <x:row r="22" ht="20" customHeight="1">
      <x:c r="A22" s="24" t="str">
        <x:v>Ⅴ. 판매비와 관리비</x:v>
      </x:c>
      <x:c r="B22" s="24" t="str">
        <x:v>백만원</x:v>
      </x:c>
      <x:c r="C22" s="25" t="str">
        <x:f>IF('03_판관비상세'!D24="","",'03_판관비상세'!D24)</x:f>
      </x:c>
      <x:c r="D22" s="25" t="str">
        <x:f>IF('03_판관비상세'!E24="","",'03_판관비상세'!E24)</x:f>
      </x:c>
      <x:c r="E22" s="25" t="str">
        <x:f>IF('03_판관비상세'!F24="","",'03_판관비상세'!F24)</x:f>
      </x:c>
      <x:c r="F22" s="25" t="str">
        <x:f>IF('03_판관비상세'!G24="","",'03_판관비상세'!G24)</x:f>
      </x:c>
      <x:c r="G22" s="25" t="str">
        <x:f>IF('03_판관비상세'!H24="","",'03_판관비상세'!H24)</x:f>
      </x:c>
      <x:c r="H22" s="25" t="str">
        <x:f>IF('03_판관비상세'!I24="","",'03_판관비상세'!I24)</x:f>
      </x:c>
      <x:c r="I22" s="25" t="str">
        <x:f>IF('03_판관비상세'!J24="","",'03_판관비상세'!J24)</x:f>
      </x:c>
      <x:c r="J22" s="25" t="str">
        <x:f>IF('03_판관비상세'!K24="","",'03_판관비상세'!K24)</x:f>
      </x:c>
      <x:c r="K22" s="25" t="str">
        <x:f>IF('03_판관비상세'!L24="","",'03_판관비상세'!L24)</x:f>
      </x:c>
      <x:c r="L22" s="25" t="str">
        <x:f>IF('03_판관비상세'!M24="","",'03_판관비상세'!M24)</x:f>
      </x:c>
      <x:c r="M22" s="25" t="str">
        <x:f>IF('03_판관비상세'!N24="","",'03_판관비상세'!N24)</x:f>
      </x:c>
      <x:c r="N22" s="25" t="str">
        <x:f>IF('03_판관비상세'!O24="","",'03_판관비상세'!O24)</x:f>
      </x:c>
      <x:c r="O22" s="18" t="str">
        <x:v>sga</x:v>
      </x:c>
      <x:c r="P22" s="18"/>
    </x:row>
    <x:row r="23" ht="20" customHeight="1">
      <x:c r="A23" s="24" t="str">
        <x:v>Ⅵ. 영업이익</x:v>
      </x:c>
      <x:c r="B23" s="24" t="str">
        <x:v>백만원</x:v>
      </x:c>
      <x:c r="C23" s="25" t="str">
        <x:f>IF(OR(C20="",C22=""),"",C20-C22)</x:f>
      </x:c>
      <x:c r="D23" s="25" t="str">
        <x:f>IF(OR(D20="",D22=""),"",D20-D22)</x:f>
      </x:c>
      <x:c r="E23" s="25" t="str">
        <x:f>IF(OR(E20="",E22=""),"",E20-E22)</x:f>
      </x:c>
      <x:c r="F23" s="25" t="str">
        <x:f>IF(OR(F20="",F22=""),"",F20-F22)</x:f>
      </x:c>
      <x:c r="G23" s="25" t="str">
        <x:f>IF(OR(G20="",G22=""),"",G20-G22)</x:f>
      </x:c>
      <x:c r="H23" s="25" t="str">
        <x:f>IF(OR(H20="",H22=""),"",H20-H22)</x:f>
      </x:c>
      <x:c r="I23" s="25" t="str">
        <x:f>IF(OR(I20="",I22=""),"",I20-I22)</x:f>
      </x:c>
      <x:c r="J23" s="25" t="str">
        <x:f>IF(OR(J20="",J22=""),"",J20-J22)</x:f>
      </x:c>
      <x:c r="K23" s="25" t="str">
        <x:f>IF(OR(K20="",K22=""),"",K20-K22)</x:f>
      </x:c>
      <x:c r="L23" s="25" t="str">
        <x:f>IF(OR(L20="",L22=""),"",L20-L22)</x:f>
      </x:c>
      <x:c r="M23" s="25" t="str">
        <x:f>IF(OR(M20="",M22=""),"",M20-M22)</x:f>
      </x:c>
      <x:c r="N23" s="25" t="str">
        <x:f>IF(OR(N20="",N22=""),"",N20-N22)</x:f>
      </x:c>
      <x:c r="O23" s="18" t="str">
        <x:v>operating_profit</x:v>
      </x:c>
      <x:c r="P23" s="18"/>
    </x:row>
    <x:row r="24" ht="20" customHeight="1">
      <x:c r="A24" s="14" t="str">
        <x:v>영업이익률</x:v>
      </x:c>
      <x:c r="B24" s="14" t="str">
        <x:v>%</x:v>
      </x:c>
      <x:c r="C24" s="36" t="str">
        <x:f>IF(OR(C23="",C2="",C2=0),"",C23/C2)</x:f>
      </x:c>
      <x:c r="D24" s="36" t="str">
        <x:f>IF(OR(D23="",D2="",D2=0),"",D23/D2)</x:f>
      </x:c>
      <x:c r="E24" s="36" t="str">
        <x:f>IF(OR(E23="",E2="",E2=0),"",E23/E2)</x:f>
      </x:c>
      <x:c r="F24" s="36" t="str">
        <x:f>IF(OR(F23="",F2="",F2=0),"",F23/F2)</x:f>
      </x:c>
      <x:c r="G24" s="36" t="str">
        <x:f>IF(OR(G23="",G2="",G2=0),"",G23/G2)</x:f>
      </x:c>
      <x:c r="H24" s="36" t="str">
        <x:f>IF(OR(H23="",H2="",H2=0),"",H23/H2)</x:f>
      </x:c>
      <x:c r="I24" s="36" t="str">
        <x:f>IF(OR(I23="",I2="",I2=0),"",I23/I2)</x:f>
      </x:c>
      <x:c r="J24" s="36" t="str">
        <x:f>IF(OR(J23="",J2="",J2=0),"",J23/J2)</x:f>
      </x:c>
      <x:c r="K24" s="36" t="str">
        <x:f>IF(OR(K23="",K2="",K2=0),"",K23/K2)</x:f>
      </x:c>
      <x:c r="L24" s="36" t="str">
        <x:f>IF(OR(L23="",L2="",L2=0),"",L23/L2)</x:f>
      </x:c>
      <x:c r="M24" s="36" t="str">
        <x:f>IF(OR(M23="",M2="",M2=0),"",M23/M2)</x:f>
      </x:c>
      <x:c r="N24" s="36" t="str">
        <x:f>IF(OR(N23="",N2="",N2=0),"",N23/N2)</x:f>
      </x:c>
      <x:c r="O24" s="18" t="str">
        <x:v>operating_margin</x:v>
      </x:c>
      <x:c r="P24" s="18"/>
    </x:row>
    <x:row r="25" ht="20" customHeight="1">
      <x:c r="A25" s="24" t="str">
        <x:v>Ⅶ. 조정 영업이익</x:v>
      </x:c>
      <x:c r="B25" s="24" t="str">
        <x:v>백만원</x:v>
      </x:c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18" t="str">
        <x:v>adjusted_operating_profit</x:v>
      </x:c>
      <x:c r="P25" s="18"/>
    </x:row>
    <x:row r="26" ht="20" customHeight="1">
      <x:c r="A26" s="14" t="str">
        <x:v>조정 영업이익률</x:v>
      </x:c>
      <x:c r="B26" s="14" t="str">
        <x:v>%</x:v>
      </x:c>
      <x:c r="C26" s="36" t="str">
        <x:f>IF(OR(C25="",C2="",C2=0),"",C25/C2)</x:f>
      </x:c>
      <x:c r="D26" s="36" t="str">
        <x:f>IF(OR(D25="",D2="",D2=0),"",D25/D2)</x:f>
      </x:c>
      <x:c r="E26" s="36" t="str">
        <x:f>IF(OR(E25="",E2="",E2=0),"",E25/E2)</x:f>
      </x:c>
      <x:c r="F26" s="36" t="str">
        <x:f>IF(OR(F25="",F2="",F2=0),"",F25/F2)</x:f>
      </x:c>
      <x:c r="G26" s="36" t="str">
        <x:f>IF(OR(G25="",G2="",G2=0),"",G25/G2)</x:f>
      </x:c>
      <x:c r="H26" s="36" t="str">
        <x:f>IF(OR(H25="",H2="",H2=0),"",H25/H2)</x:f>
      </x:c>
      <x:c r="I26" s="36" t="str">
        <x:f>IF(OR(I25="",I2="",I2=0),"",I25/I2)</x:f>
      </x:c>
      <x:c r="J26" s="36" t="str">
        <x:f>IF(OR(J25="",J2="",J2=0),"",J25/J2)</x:f>
      </x:c>
      <x:c r="K26" s="36" t="str">
        <x:f>IF(OR(K25="",K2="",K2=0),"",K25/K2)</x:f>
      </x:c>
      <x:c r="L26" s="36" t="str">
        <x:f>IF(OR(L25="",L2="",L2=0),"",L25/L2)</x:f>
      </x:c>
      <x:c r="M26" s="36" t="str">
        <x:f>IF(OR(M25="",M2="",M2=0),"",M25/M2)</x:f>
      </x:c>
      <x:c r="N26" s="36" t="str">
        <x:f>IF(OR(N25="",N2="",N2=0),"",N25/N2)</x:f>
      </x:c>
      <x:c r="O26" s="18" t="str">
        <x:v>adjusted_operating_margin</x:v>
      </x:c>
      <x:c r="P26" s="18"/>
    </x:row>
    <x:row r="27" ht="2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20" customHeight="1">
      <x:c r="A28" s="58" t="str">
        <x:v>입력칸</x:v>
      </x:c>
      <x:c r="B28" s="59" t="str">
        <x:v>자동계산</x:v>
      </x:c>
      <x:c r="C28" s="60" t="str">
        <x:v>고정정보</x:v>
      </x:c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30" customHeight="1">
      <x:c r="A29" s="66" t="str">
        <x:v>파란색 월 셀만 입력 | PLAN: 1~12월 입력 | ACTUAL: 기준월까지만 입력, 미래월은 빈칸 | 실제 값이 0이면 0 입력</x:v>
      </x:c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</x:sheetData>
  <x:mergeCells>
    <x:mergeCell ref="A29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" hidden="0" customWidth="1"/>
  </x:cols>
  <x:sheetData>
    <x:row r="1" ht="26" customHeight="1">
      <x:c r="A1" s="10" t="str">
        <x:v>매출원가 요소</x:v>
      </x:c>
      <x:c r="B1" s="10" t="str">
        <x:v>단위</x:v>
      </x:c>
      <x:c r="C1" s="10" t="str">
        <x:v>1월</x:v>
      </x:c>
      <x:c r="D1" s="10" t="str">
        <x:v>2월</x:v>
      </x:c>
      <x:c r="E1" s="10" t="str">
        <x:v>3월</x:v>
      </x:c>
      <x:c r="F1" s="10" t="str">
        <x:v>4월</x:v>
      </x:c>
      <x:c r="G1" s="10" t="str">
        <x:v>5월</x:v>
      </x:c>
      <x:c r="H1" s="10" t="str">
        <x:v>6월</x:v>
      </x:c>
      <x:c r="I1" s="10" t="str">
        <x:v>7월</x:v>
      </x:c>
      <x:c r="J1" s="10" t="str">
        <x:v>8월</x:v>
      </x:c>
      <x:c r="K1" s="10" t="str">
        <x:v>9월</x:v>
      </x:c>
      <x:c r="L1" s="10" t="str">
        <x:v>10월</x:v>
      </x:c>
      <x:c r="M1" s="10" t="str">
        <x:v>11월</x:v>
      </x:c>
      <x:c r="N1" s="10" t="str">
        <x:v>12월</x:v>
      </x:c>
      <x:c r="O1" s="18" t="str">
        <x:v>row_key</x:v>
      </x:c>
    </x:row>
    <x:row r="2" ht="20" customHeight="1">
      <x:c r="A2" s="14" t="str">
        <x:v>원부재료비</x:v>
      </x:c>
      <x:c r="B2" s="14" t="str">
        <x:v>백만원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18" t="str">
        <x:v>mfg_material</x:v>
      </x:c>
    </x:row>
    <x:row r="3" ht="20" customHeight="1">
      <x:c r="A3" s="14" t="str">
        <x:v>노무비</x:v>
      </x:c>
      <x:c r="B3" s="14" t="str">
        <x:v>백만원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18" t="str">
        <x:v>mfg_labor</x:v>
      </x:c>
    </x:row>
    <x:row r="4" ht="20" customHeight="1">
      <x:c r="A4" s="14" t="str">
        <x:v>외주가공비</x:v>
      </x:c>
      <x:c r="B4" s="14" t="str">
        <x:v>백만원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18" t="str">
        <x:v>mfg_outsourcing</x:v>
      </x:c>
    </x:row>
    <x:row r="5" ht="20" customHeight="1">
      <x:c r="A5" s="14" t="str">
        <x:v>기타 제조경비</x:v>
      </x:c>
      <x:c r="B5" s="14" t="str">
        <x:v>백만원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18" t="str">
        <x:v>mfg_other</x:v>
      </x:c>
    </x:row>
    <x:row r="6" ht="20" customHeight="1">
      <x:c r="A6" s="44" t="str">
        <x:v>합계</x:v>
      </x:c>
      <x:c r="B6" s="44" t="str">
        <x:v>백만원</x:v>
      </x:c>
      <x:c r="C6" s="45" t="str">
        <x:f>IF(COUNT(C2,C3,C4,C5)=0,"",SUM(C2,C3,C4,C5))</x:f>
      </x:c>
      <x:c r="D6" s="45" t="str">
        <x:f>IF(COUNT(D2,D3,D4,D5)=0,"",SUM(D2,D3,D4,D5))</x:f>
      </x:c>
      <x:c r="E6" s="45" t="str">
        <x:f>IF(COUNT(E2,E3,E4,E5)=0,"",SUM(E2,E3,E4,E5))</x:f>
      </x:c>
      <x:c r="F6" s="45" t="str">
        <x:f>IF(COUNT(F2,F3,F4,F5)=0,"",SUM(F2,F3,F4,F5))</x:f>
      </x:c>
      <x:c r="G6" s="45" t="str">
        <x:f>IF(COUNT(G2,G3,G4,G5)=0,"",SUM(G2,G3,G4,G5))</x:f>
      </x:c>
      <x:c r="H6" s="45" t="str">
        <x:f>IF(COUNT(H2,H3,H4,H5)=0,"",SUM(H2,H3,H4,H5))</x:f>
      </x:c>
      <x:c r="I6" s="45" t="str">
        <x:f>IF(COUNT(I2,I3,I4,I5)=0,"",SUM(I2,I3,I4,I5))</x:f>
      </x:c>
      <x:c r="J6" s="45" t="str">
        <x:f>IF(COUNT(J2,J3,J4,J5)=0,"",SUM(J2,J3,J4,J5))</x:f>
      </x:c>
      <x:c r="K6" s="45" t="str">
        <x:f>IF(COUNT(K2,K3,K4,K5)=0,"",SUM(K2,K3,K4,K5))</x:f>
      </x:c>
      <x:c r="L6" s="45" t="str">
        <x:f>IF(COUNT(L2,L3,L4,L5)=0,"",SUM(L2,L3,L4,L5))</x:f>
      </x:c>
      <x:c r="M6" s="45" t="str">
        <x:f>IF(COUNT(M2,M3,M4,M5)=0,"",SUM(M2,M3,M4,M5))</x:f>
      </x:c>
      <x:c r="N6" s="45" t="str">
        <x:f>IF(COUNT(N2,N3,N4,N5)=0,"",SUM(N2,N3,N4,N5))</x:f>
      </x:c>
      <x:c r="O6" s="18" t="str">
        <x:v>mfg_total</x:v>
      </x:c>
    </x:row>
    <x:row r="7" ht="20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</x:row>
    <x:row r="8" ht="20" customHeight="1">
      <x:c r="A8" s="58" t="str">
        <x:v>입력칸</x:v>
      </x:c>
      <x:c r="B8" s="59" t="str">
        <x:v>자동계산</x:v>
      </x:c>
      <x:c r="C8" s="60" t="str">
        <x:v>고정정보</x:v>
      </x:c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</x:row>
    <x:row r="9" ht="30" customHeight="1">
      <x:c r="A9" s="66" t="str">
        <x:v>파란색 월 셀만 입력 | PLAN: 1~12월 입력 | ACTUAL: 기준월까지만 입력, 미래월은 빈칸 | 실제 값이 0이면 0 입력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</x:row>
  </x:sheetData>
  <x:mergeCells>
    <x:mergeCell ref="A9:N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2" hidden="0" customWidth="1"/>
  </x:cols>
  <x:sheetData>
    <x:row r="1" ht="26" customHeight="1">
      <x:c r="A1" s="10" t="str">
        <x:v>판관비 항목</x:v>
      </x:c>
      <x:c r="B1" s="10" t="str">
        <x:v>구분</x:v>
      </x:c>
      <x:c r="C1" s="10" t="str">
        <x:v>단위</x:v>
      </x:c>
      <x:c r="D1" s="10" t="str">
        <x:v>1월</x:v>
      </x:c>
      <x:c r="E1" s="10" t="str">
        <x:v>2월</x:v>
      </x:c>
      <x:c r="F1" s="10" t="str">
        <x:v>3월</x:v>
      </x:c>
      <x:c r="G1" s="10" t="str">
        <x:v>4월</x:v>
      </x:c>
      <x:c r="H1" s="10" t="str">
        <x:v>5월</x:v>
      </x:c>
      <x:c r="I1" s="10" t="str">
        <x:v>6월</x:v>
      </x:c>
      <x:c r="J1" s="10" t="str">
        <x:v>7월</x:v>
      </x:c>
      <x:c r="K1" s="10" t="str">
        <x:v>8월</x:v>
      </x:c>
      <x:c r="L1" s="10" t="str">
        <x:v>9월</x:v>
      </x:c>
      <x:c r="M1" s="10" t="str">
        <x:v>10월</x:v>
      </x:c>
      <x:c r="N1" s="10" t="str">
        <x:v>11월</x:v>
      </x:c>
      <x:c r="O1" s="10" t="str">
        <x:v>12월</x:v>
      </x:c>
      <x:c r="P1" s="18" t="str">
        <x:v>row_key</x:v>
      </x:c>
    </x:row>
    <x:row r="2" ht="20" customHeight="1">
      <x:c r="A2" s="24" t="str">
        <x:v>일반관리비 소계</x:v>
      </x:c>
      <x:c r="B2" s="24" t="str">
        <x:v>일반관리비</x:v>
      </x:c>
      <x:c r="C2" s="24" t="str">
        <x:v>백만원</x:v>
      </x:c>
      <x:c r="D2" s="25" t="str">
        <x:f>IF(COUNT(D3,D4,D5,D6,D7)=0,"",SUM(D3,D4,D5,D6,D7))</x:f>
      </x:c>
      <x:c r="E2" s="25" t="str">
        <x:f>IF(COUNT(E3,E4,E5,E6,E7)=0,"",SUM(E3,E4,E5,E6,E7))</x:f>
      </x:c>
      <x:c r="F2" s="25" t="str">
        <x:f>IF(COUNT(F3,F4,F5,F6,F7)=0,"",SUM(F3,F4,F5,F6,F7))</x:f>
      </x:c>
      <x:c r="G2" s="25" t="str">
        <x:f>IF(COUNT(G3,G4,G5,G6,G7)=0,"",SUM(G3,G4,G5,G6,G7))</x:f>
      </x:c>
      <x:c r="H2" s="25" t="str">
        <x:f>IF(COUNT(H3,H4,H5,H6,H7)=0,"",SUM(H3,H4,H5,H6,H7))</x:f>
      </x:c>
      <x:c r="I2" s="25" t="str">
        <x:f>IF(COUNT(I3,I4,I5,I6,I7)=0,"",SUM(I3,I4,I5,I6,I7))</x:f>
      </x:c>
      <x:c r="J2" s="25" t="str">
        <x:f>IF(COUNT(J3,J4,J5,J6,J7)=0,"",SUM(J3,J4,J5,J6,J7))</x:f>
      </x:c>
      <x:c r="K2" s="25" t="str">
        <x:f>IF(COUNT(K3,K4,K5,K6,K7)=0,"",SUM(K3,K4,K5,K6,K7))</x:f>
      </x:c>
      <x:c r="L2" s="25" t="str">
        <x:f>IF(COUNT(L3,L4,L5,L6,L7)=0,"",SUM(L3,L4,L5,L6,L7))</x:f>
      </x:c>
      <x:c r="M2" s="25" t="str">
        <x:f>IF(COUNT(M3,M4,M5,M6,M7)=0,"",SUM(M3,M4,M5,M6,M7))</x:f>
      </x:c>
      <x:c r="N2" s="25" t="str">
        <x:f>IF(COUNT(N3,N4,N5,N6,N7)=0,"",SUM(N3,N4,N5,N6,N7))</x:f>
      </x:c>
      <x:c r="O2" s="25" t="str">
        <x:f>IF(COUNT(O3,O4,O5,O6,O7)=0,"",SUM(O3,O4,O5,O6,O7))</x:f>
      </x:c>
      <x:c r="P2" s="18" t="str">
        <x:v>admin</x:v>
      </x:c>
    </x:row>
    <x:row r="3" ht="20" customHeight="1">
      <x:c r="A3" s="14" t="str">
        <x:v>1. 인건비</x:v>
      </x:c>
      <x:c r="B3" s="14" t="str">
        <x:v>일반관리비</x:v>
      </x:c>
      <x:c r="C3" s="14" t="str">
        <x:v>백만원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18" t="str">
        <x:v>admin_labor</x:v>
      </x:c>
    </x:row>
    <x:row r="4" ht="20" customHeight="1">
      <x:c r="A4" s="14" t="str">
        <x:v>2. 감가상각비</x:v>
      </x:c>
      <x:c r="B4" s="14" t="str">
        <x:v>일반관리비</x:v>
      </x:c>
      <x:c r="C4" s="14" t="str">
        <x:v>백만원</x:v>
      </x:c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18" t="str">
        <x:v>admin_depr</x:v>
      </x:c>
    </x:row>
    <x:row r="5" ht="20" customHeight="1">
      <x:c r="A5" s="14" t="str">
        <x:v>3. 경상개발비</x:v>
      </x:c>
      <x:c r="B5" s="14" t="str">
        <x:v>일반관리비</x:v>
      </x:c>
      <x:c r="C5" s="14" t="str">
        <x:v>백만원</x:v>
      </x:c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18" t="str">
        <x:v>admin_rnd</x:v>
      </x:c>
    </x:row>
    <x:row r="6" ht="20" customHeight="1">
      <x:c r="A6" s="14" t="str">
        <x:v>4. 수수료</x:v>
      </x:c>
      <x:c r="B6" s="14" t="str">
        <x:v>일반관리비</x:v>
      </x:c>
      <x:c r="C6" s="14" t="str">
        <x:v>백만원</x:v>
      </x:c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18" t="str">
        <x:v>admin_fee</x:v>
      </x:c>
    </x:row>
    <x:row r="7" ht="20" customHeight="1">
      <x:c r="A7" s="24" t="str">
        <x:v>5. 기타</x:v>
      </x:c>
      <x:c r="B7" s="24" t="str">
        <x:v>일반관리비</x:v>
      </x:c>
      <x:c r="C7" s="24" t="str">
        <x:v>백만원</x:v>
      </x:c>
      <x:c r="D7" s="25" t="str">
        <x:f>IF(COUNT(D8,D9,D10,D11)=0,"",SUM(D8,D9,D10,D11))</x:f>
      </x:c>
      <x:c r="E7" s="25" t="str">
        <x:f>IF(COUNT(E8,E9,E10,E11)=0,"",SUM(E8,E9,E10,E11))</x:f>
      </x:c>
      <x:c r="F7" s="25" t="str">
        <x:f>IF(COUNT(F8,F9,F10,F11)=0,"",SUM(F8,F9,F10,F11))</x:f>
      </x:c>
      <x:c r="G7" s="25" t="str">
        <x:f>IF(COUNT(G8,G9,G10,G11)=0,"",SUM(G8,G9,G10,G11))</x:f>
      </x:c>
      <x:c r="H7" s="25" t="str">
        <x:f>IF(COUNT(H8,H9,H10,H11)=0,"",SUM(H8,H9,H10,H11))</x:f>
      </x:c>
      <x:c r="I7" s="25" t="str">
        <x:f>IF(COUNT(I8,I9,I10,I11)=0,"",SUM(I8,I9,I10,I11))</x:f>
      </x:c>
      <x:c r="J7" s="25" t="str">
        <x:f>IF(COUNT(J8,J9,J10,J11)=0,"",SUM(J8,J9,J10,J11))</x:f>
      </x:c>
      <x:c r="K7" s="25" t="str">
        <x:f>IF(COUNT(K8,K9,K10,K11)=0,"",SUM(K8,K9,K10,K11))</x:f>
      </x:c>
      <x:c r="L7" s="25" t="str">
        <x:f>IF(COUNT(L8,L9,L10,L11)=0,"",SUM(L8,L9,L10,L11))</x:f>
      </x:c>
      <x:c r="M7" s="25" t="str">
        <x:f>IF(COUNT(M8,M9,M10,M11)=0,"",SUM(M8,M9,M10,M11))</x:f>
      </x:c>
      <x:c r="N7" s="25" t="str">
        <x:f>IF(COUNT(N8,N9,N10,N11)=0,"",SUM(N8,N9,N10,N11))</x:f>
      </x:c>
      <x:c r="O7" s="25" t="str">
        <x:f>IF(COUNT(O8,O9,O10,O11)=0,"",SUM(O8,O9,O10,O11))</x:f>
      </x:c>
      <x:c r="P7" s="18" t="str">
        <x:v>admin_other</x:v>
      </x:c>
    </x:row>
    <x:row r="8" ht="20" customHeight="1">
      <x:c r="A8" s="14" t="str">
        <x:v>• 통신비</x:v>
      </x:c>
      <x:c r="B8" s="14" t="str">
        <x:v>세부항목</x:v>
      </x:c>
      <x:c r="C8" s="14" t="str">
        <x:v>백만원</x:v>
      </x:c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18" t="str">
        <x:v>admin_other_1</x:v>
      </x:c>
    </x:row>
    <x:row r="9" ht="20" customHeight="1">
      <x:c r="A9" s="14" t="str">
        <x:v>• 소모품비</x:v>
      </x:c>
      <x:c r="B9" s="14" t="str">
        <x:v>세부항목</x:v>
      </x:c>
      <x:c r="C9" s="14" t="str">
        <x:v>백만원</x:v>
      </x:c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18" t="str">
        <x:v>admin_other_2</x:v>
      </x:c>
    </x:row>
    <x:row r="10" ht="20" customHeight="1">
      <x:c r="A10" s="14" t="str">
        <x:v>• 도서인쇄비</x:v>
      </x:c>
      <x:c r="B10" s="14" t="str">
        <x:v>세부항목</x:v>
      </x:c>
      <x:c r="C10" s="14" t="str">
        <x:v>백만원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18" t="str">
        <x:v>admin_other_3</x:v>
      </x:c>
    </x:row>
    <x:row r="11" ht="20" customHeight="1">
      <x:c r="A11" s="14" t="str">
        <x:v>• 기타 잡비</x:v>
      </x:c>
      <x:c r="B11" s="14" t="str">
        <x:v>세부항목</x:v>
      </x:c>
      <x:c r="C11" s="14" t="str">
        <x:v>백만원</x:v>
      </x:c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18" t="str">
        <x:v>admin_other_4</x:v>
      </x:c>
    </x:row>
    <x:row r="12" ht="20" customHeight="1">
      <x:c r="A12" s="24" t="str">
        <x:v>판매비 소계</x:v>
      </x:c>
      <x:c r="B12" s="24" t="str">
        <x:v>판매비</x:v>
      </x:c>
      <x:c r="C12" s="24" t="str">
        <x:v>백만원</x:v>
      </x:c>
      <x:c r="D12" s="25" t="str">
        <x:f>IF(COUNT(D13,D14,D15,D16,D17,D18,D19,D20)=0,"",SUM(D13,D14,D15,D16,D17,D18,D19,D20))</x:f>
      </x:c>
      <x:c r="E12" s="25" t="str">
        <x:f>IF(COUNT(E13,E14,E15,E16,E17,E18,E19,E20)=0,"",SUM(E13,E14,E15,E16,E17,E18,E19,E20))</x:f>
      </x:c>
      <x:c r="F12" s="25" t="str">
        <x:f>IF(COUNT(F13,F14,F15,F16,F17,F18,F19,F20)=0,"",SUM(F13,F14,F15,F16,F17,F18,F19,F20))</x:f>
      </x:c>
      <x:c r="G12" s="25" t="str">
        <x:f>IF(COUNT(G13,G14,G15,G16,G17,G18,G19,G20)=0,"",SUM(G13,G14,G15,G16,G17,G18,G19,G20))</x:f>
      </x:c>
      <x:c r="H12" s="25" t="str">
        <x:f>IF(COUNT(H13,H14,H15,H16,H17,H18,H19,H20)=0,"",SUM(H13,H14,H15,H16,H17,H18,H19,H20))</x:f>
      </x:c>
      <x:c r="I12" s="25" t="str">
        <x:f>IF(COUNT(I13,I14,I15,I16,I17,I18,I19,I20)=0,"",SUM(I13,I14,I15,I16,I17,I18,I19,I20))</x:f>
      </x:c>
      <x:c r="J12" s="25" t="str">
        <x:f>IF(COUNT(J13,J14,J15,J16,J17,J18,J19,J20)=0,"",SUM(J13,J14,J15,J16,J17,J18,J19,J20))</x:f>
      </x:c>
      <x:c r="K12" s="25" t="str">
        <x:f>IF(COUNT(K13,K14,K15,K16,K17,K18,K19,K20)=0,"",SUM(K13,K14,K15,K16,K17,K18,K19,K20))</x:f>
      </x:c>
      <x:c r="L12" s="25" t="str">
        <x:f>IF(COUNT(L13,L14,L15,L16,L17,L18,L19,L20)=0,"",SUM(L13,L14,L15,L16,L17,L18,L19,L20))</x:f>
      </x:c>
      <x:c r="M12" s="25" t="str">
        <x:f>IF(COUNT(M13,M14,M15,M16,M17,M18,M19,M20)=0,"",SUM(M13,M14,M15,M16,M17,M18,M19,M20))</x:f>
      </x:c>
      <x:c r="N12" s="25" t="str">
        <x:f>IF(COUNT(N13,N14,N15,N16,N17,N18,N19,N20)=0,"",SUM(N13,N14,N15,N16,N17,N18,N19,N20))</x:f>
      </x:c>
      <x:c r="O12" s="25" t="str">
        <x:f>IF(COUNT(O13,O14,O15,O16,O17,O18,O19,O20)=0,"",SUM(O13,O14,O15,O16,O17,O18,O19,O20))</x:f>
      </x:c>
      <x:c r="P12" s="18" t="str">
        <x:v>sales</x:v>
      </x:c>
    </x:row>
    <x:row r="13" ht="20" customHeight="1">
      <x:c r="A13" s="14" t="str">
        <x:v>1. 운반비</x:v>
      </x:c>
      <x:c r="B13" s="14" t="str">
        <x:v>판매비</x:v>
      </x:c>
      <x:c r="C13" s="14" t="str">
        <x:v>백만원</x:v>
      </x:c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18" t="str">
        <x:v>sales_freight</x:v>
      </x:c>
    </x:row>
    <x:row r="14" ht="20" customHeight="1">
      <x:c r="A14" s="14" t="str">
        <x:v>2. 수수료</x:v>
      </x:c>
      <x:c r="B14" s="14" t="str">
        <x:v>판매비</x:v>
      </x:c>
      <x:c r="C14" s="14" t="str">
        <x:v>백만원</x:v>
      </x:c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18" t="str">
        <x:v>sales_commission</x:v>
      </x:c>
    </x:row>
    <x:row r="15" ht="20" customHeight="1">
      <x:c r="A15" s="14" t="str">
        <x:v>3. 브랜드사용료</x:v>
      </x:c>
      <x:c r="B15" s="14" t="str">
        <x:v>판매비</x:v>
      </x:c>
      <x:c r="C15" s="14" t="str">
        <x:v>백만원</x:v>
      </x:c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18" t="str">
        <x:v>sales_brand</x:v>
      </x:c>
    </x:row>
    <x:row r="16" ht="20" customHeight="1">
      <x:c r="A16" s="14" t="str">
        <x:v>4. 인건비</x:v>
      </x:c>
      <x:c r="B16" s="14" t="str">
        <x:v>판매비</x:v>
      </x:c>
      <x:c r="C16" s="14" t="str">
        <x:v>백만원</x:v>
      </x:c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18" t="str">
        <x:v>sales_labor</x:v>
      </x:c>
    </x:row>
    <x:row r="17" ht="20" customHeight="1">
      <x:c r="A17" s="14" t="str">
        <x:v>5. 견본비</x:v>
      </x:c>
      <x:c r="B17" s="14" t="str">
        <x:v>판매비</x:v>
      </x:c>
      <x:c r="C17" s="14" t="str">
        <x:v>백만원</x:v>
      </x:c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18" t="str">
        <x:v>sales_sample</x:v>
      </x:c>
    </x:row>
    <x:row r="18" ht="20" customHeight="1">
      <x:c r="A18" s="14" t="str">
        <x:v>6. 대손상각</x:v>
      </x:c>
      <x:c r="B18" s="14" t="str">
        <x:v>판매비</x:v>
      </x:c>
      <x:c r="C18" s="14" t="str">
        <x:v>백만원</x:v>
      </x:c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18" t="str">
        <x:v>sales_bad_debt</x:v>
      </x:c>
    </x:row>
    <x:row r="19" ht="20" customHeight="1">
      <x:c r="A19" s="14" t="str">
        <x:v>7. 잡비</x:v>
      </x:c>
      <x:c r="B19" s="14" t="str">
        <x:v>판매비</x:v>
      </x:c>
      <x:c r="C19" s="14" t="str">
        <x:v>백만원</x:v>
      </x:c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18" t="str">
        <x:v>sales_sundry</x:v>
      </x:c>
    </x:row>
    <x:row r="20" ht="20" customHeight="1">
      <x:c r="A20" s="24" t="str">
        <x:v>8. 기타</x:v>
      </x:c>
      <x:c r="B20" s="24" t="str">
        <x:v>판매비</x:v>
      </x:c>
      <x:c r="C20" s="24" t="str">
        <x:v>백만원</x:v>
      </x:c>
      <x:c r="D20" s="25" t="str">
        <x:f>IF(COUNT(D21,D22,D23)=0,"",SUM(D21,D22,D23))</x:f>
      </x:c>
      <x:c r="E20" s="25" t="str">
        <x:f>IF(COUNT(E21,E22,E23)=0,"",SUM(E21,E22,E23))</x:f>
      </x:c>
      <x:c r="F20" s="25" t="str">
        <x:f>IF(COUNT(F21,F22,F23)=0,"",SUM(F21,F22,F23))</x:f>
      </x:c>
      <x:c r="G20" s="25" t="str">
        <x:f>IF(COUNT(G21,G22,G23)=0,"",SUM(G21,G22,G23))</x:f>
      </x:c>
      <x:c r="H20" s="25" t="str">
        <x:f>IF(COUNT(H21,H22,H23)=0,"",SUM(H21,H22,H23))</x:f>
      </x:c>
      <x:c r="I20" s="25" t="str">
        <x:f>IF(COUNT(I21,I22,I23)=0,"",SUM(I21,I22,I23))</x:f>
      </x:c>
      <x:c r="J20" s="25" t="str">
        <x:f>IF(COUNT(J21,J22,J23)=0,"",SUM(J21,J22,J23))</x:f>
      </x:c>
      <x:c r="K20" s="25" t="str">
        <x:f>IF(COUNT(K21,K22,K23)=0,"",SUM(K21,K22,K23))</x:f>
      </x:c>
      <x:c r="L20" s="25" t="str">
        <x:f>IF(COUNT(L21,L22,L23)=0,"",SUM(L21,L22,L23))</x:f>
      </x:c>
      <x:c r="M20" s="25" t="str">
        <x:f>IF(COUNT(M21,M22,M23)=0,"",SUM(M21,M22,M23))</x:f>
      </x:c>
      <x:c r="N20" s="25" t="str">
        <x:f>IF(COUNT(N21,N22,N23)=0,"",SUM(N21,N22,N23))</x:f>
      </x:c>
      <x:c r="O20" s="25" t="str">
        <x:f>IF(COUNT(O21,O22,O23)=0,"",SUM(O21,O22,O23))</x:f>
      </x:c>
      <x:c r="P20" s="18" t="str">
        <x:v>sales_other</x:v>
      </x:c>
    </x:row>
    <x:row r="21" ht="20" customHeight="1">
      <x:c r="A21" s="14" t="str">
        <x:v>• 포장재료비</x:v>
      </x:c>
      <x:c r="B21" s="14" t="str">
        <x:v>세부항목</x:v>
      </x:c>
      <x:c r="C21" s="14" t="str">
        <x:v>백만원</x:v>
      </x:c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18" t="str">
        <x:v>sales_other_1</x:v>
      </x:c>
    </x:row>
    <x:row r="22" ht="20" customHeight="1">
      <x:c r="A22" s="14" t="str">
        <x:v>• 보관료/창고료</x:v>
      </x:c>
      <x:c r="B22" s="14" t="str">
        <x:v>세부항목</x:v>
      </x:c>
      <x:c r="C22" s="14" t="str">
        <x:v>백만원</x:v>
      </x:c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18" t="str">
        <x:v>sales_other_2</x:v>
      </x:c>
    </x:row>
    <x:row r="23" ht="20" customHeight="1">
      <x:c r="A23" s="14" t="str">
        <x:v>• 기타 판매부대비</x:v>
      </x:c>
      <x:c r="B23" s="14" t="str">
        <x:v>세부항목</x:v>
      </x:c>
      <x:c r="C23" s="14" t="str">
        <x:v>백만원</x:v>
      </x:c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18" t="str">
        <x:v>sales_other_3</x:v>
      </x:c>
    </x:row>
    <x:row r="24" ht="20" customHeight="1">
      <x:c r="A24" s="44" t="str">
        <x:v>판관비 총계</x:v>
      </x:c>
      <x:c r="B24" s="44" t="str">
        <x:v>총계</x:v>
      </x:c>
      <x:c r="C24" s="44" t="str">
        <x:v>백만원</x:v>
      </x:c>
      <x:c r="D24" s="45" t="str">
        <x:f>IF(COUNT(D2,D12)=0,"",SUM(D2,D12))</x:f>
      </x:c>
      <x:c r="E24" s="45" t="str">
        <x:f>IF(COUNT(E2,E12)=0,"",SUM(E2,E12))</x:f>
      </x:c>
      <x:c r="F24" s="45" t="str">
        <x:f>IF(COUNT(F2,F12)=0,"",SUM(F2,F12))</x:f>
      </x:c>
      <x:c r="G24" s="45" t="str">
        <x:f>IF(COUNT(G2,G12)=0,"",SUM(G2,G12))</x:f>
      </x:c>
      <x:c r="H24" s="45" t="str">
        <x:f>IF(COUNT(H2,H12)=0,"",SUM(H2,H12))</x:f>
      </x:c>
      <x:c r="I24" s="45" t="str">
        <x:f>IF(COUNT(I2,I12)=0,"",SUM(I2,I12))</x:f>
      </x:c>
      <x:c r="J24" s="45" t="str">
        <x:f>IF(COUNT(J2,J12)=0,"",SUM(J2,J12))</x:f>
      </x:c>
      <x:c r="K24" s="45" t="str">
        <x:f>IF(COUNT(K2,K12)=0,"",SUM(K2,K12))</x:f>
      </x:c>
      <x:c r="L24" s="45" t="str">
        <x:f>IF(COUNT(L2,L12)=0,"",SUM(L2,L12))</x:f>
      </x:c>
      <x:c r="M24" s="45" t="str">
        <x:f>IF(COUNT(M2,M12)=0,"",SUM(M2,M12))</x:f>
      </x:c>
      <x:c r="N24" s="45" t="str">
        <x:f>IF(COUNT(N2,N12)=0,"",SUM(N2,N12))</x:f>
      </x:c>
      <x:c r="O24" s="45" t="str">
        <x:f>IF(COUNT(O2,O12)=0,"",SUM(O2,O12))</x:f>
      </x:c>
      <x:c r="P24" s="18" t="str">
        <x:v>sga_total</x:v>
      </x:c>
    </x:row>
    <x:row r="25" ht="2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20" customHeight="1">
      <x:c r="A26" s="58" t="str">
        <x:v>입력칸</x:v>
      </x:c>
      <x:c r="B26" s="59" t="str">
        <x:v>자동계산</x:v>
      </x:c>
      <x:c r="C26" s="60" t="str">
        <x:v>고정정보</x:v>
      </x:c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30" customHeight="1">
      <x:c r="A27" s="66" t="str">
        <x:v>파란색 월 셀만 입력 | PLAN: 1~12월 입력 | ACTUAL: 기준월까지만 입력, 미래월은 빈칸 | 실제 값이 0이면 0 입력</x:v>
      </x:c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</x:sheetData>
  <x:mergeCells>
    <x:mergeCell ref="A27:O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" hidden="0" customWidth="1"/>
    <x:col min="18" max="18" width="2" hidden="0" customWidth="1"/>
  </x:cols>
  <x:sheetData>
    <x:row r="1" ht="28" customHeight="1">
      <x:c r="A1" s="49" t="str">
        <x:v>제품군</x:v>
      </x:c>
      <x:c r="B1" s="49" t="str">
        <x:v>규격</x:v>
      </x:c>
      <x:c r="C1" s="49" t="str">
        <x:v>손익 항목</x:v>
      </x:c>
      <x:c r="D1" s="49" t="str">
        <x:v>단위</x:v>
      </x:c>
      <x:c r="E1" s="49" t="str">
        <x:v>1월</x:v>
      </x:c>
      <x:c r="F1" s="49" t="str">
        <x:v>2월</x:v>
      </x:c>
      <x:c r="G1" s="49" t="str">
        <x:v>3월</x:v>
      </x:c>
      <x:c r="H1" s="49" t="str">
        <x:v>4월</x:v>
      </x:c>
      <x:c r="I1" s="49" t="str">
        <x:v>5월</x:v>
      </x:c>
      <x:c r="J1" s="49" t="str">
        <x:v>6월</x:v>
      </x:c>
      <x:c r="K1" s="49" t="str">
        <x:v>7월</x:v>
      </x:c>
      <x:c r="L1" s="49" t="str">
        <x:v>8월</x:v>
      </x:c>
      <x:c r="M1" s="49" t="str">
        <x:v>9월</x:v>
      </x:c>
      <x:c r="N1" s="49" t="str">
        <x:v>10월</x:v>
      </x:c>
      <x:c r="O1" s="49" t="str">
        <x:v>11월</x:v>
      </x:c>
      <x:c r="P1" s="49" t="str">
        <x:v>12월</x:v>
      </x:c>
      <x:c r="Q1" s="18" t="str">
        <x:v>product_group_key</x:v>
      </x:c>
      <x:c r="R1" s="18" t="str">
        <x:v>row_key</x:v>
      </x:c>
    </x:row>
    <x:row r="2" ht="20" customHeight="1">
      <x:c r="A2" s="24" t="str">
        <x:v>8인치 SW</x:v>
      </x:c>
      <x:c r="B2" s="24" t="str">
        <x:v>8-inch</x:v>
      </x:c>
      <x:c r="C2" s="24" t="str">
        <x:v>1. 매출액</x:v>
      </x:c>
      <x:c r="D2" s="24" t="str">
        <x:v>백만원</x:v>
      </x:c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18" t="str">
        <x:v>SW</x:v>
      </x:c>
      <x:c r="R2" s="18" t="str">
        <x:v>revenue</x:v>
      </x:c>
    </x:row>
    <x:row r="3" ht="20" customHeight="1">
      <x:c r="A3" s="14" t="str">
        <x:v>8인치 SW</x:v>
      </x:c>
      <x:c r="B3" s="14" t="str">
        <x:v>8-inch</x:v>
      </x:c>
      <x:c r="C3" s="14" t="str">
        <x:v>2. 매출수량</x:v>
      </x:c>
      <x:c r="D3" s="14" t="str">
        <x:v>PCS</x:v>
      </x:c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18" t="str">
        <x:v>SW</x:v>
      </x:c>
      <x:c r="R3" s="18" t="str">
        <x:v>volume</x:v>
      </x:c>
    </x:row>
    <x:row r="4" ht="20" customHeight="1">
      <x:c r="A4" s="14" t="str">
        <x:v>8인치 SW</x:v>
      </x:c>
      <x:c r="B4" s="14" t="str">
        <x:v>8-inch</x:v>
      </x:c>
      <x:c r="C4" s="14" t="str">
        <x:v>3. 평균 판매 단가(ASP)</x:v>
      </x:c>
      <x:c r="D4" s="14" t="str">
        <x:v>원</x:v>
      </x:c>
      <x:c r="E4" s="22" t="str">
        <x:f>IF(OR(E2="",E3="",E3=0),"",E2*1000000/E3)</x:f>
      </x:c>
      <x:c r="F4" s="22" t="str">
        <x:f>IF(OR(F2="",F3="",F3=0),"",F2*1000000/F3)</x:f>
      </x:c>
      <x:c r="G4" s="22" t="str">
        <x:f>IF(OR(G2="",G3="",G3=0),"",G2*1000000/G3)</x:f>
      </x:c>
      <x:c r="H4" s="22" t="str">
        <x:f>IF(OR(H2="",H3="",H3=0),"",H2*1000000/H3)</x:f>
      </x:c>
      <x:c r="I4" s="22" t="str">
        <x:f>IF(OR(I2="",I3="",I3=0),"",I2*1000000/I3)</x:f>
      </x:c>
      <x:c r="J4" s="22" t="str">
        <x:f>IF(OR(J2="",J3="",J3=0),"",J2*1000000/J3)</x:f>
      </x:c>
      <x:c r="K4" s="22" t="str">
        <x:f>IF(OR(K2="",K3="",K3=0),"",K2*1000000/K3)</x:f>
      </x:c>
      <x:c r="L4" s="22" t="str">
        <x:f>IF(OR(L2="",L3="",L3=0),"",L2*1000000/L3)</x:f>
      </x:c>
      <x:c r="M4" s="22" t="str">
        <x:f>IF(OR(M2="",M3="",M3=0),"",M2*1000000/M3)</x:f>
      </x:c>
      <x:c r="N4" s="22" t="str">
        <x:f>IF(OR(N2="",N3="",N3=0),"",N2*1000000/N3)</x:f>
      </x:c>
      <x:c r="O4" s="22" t="str">
        <x:f>IF(OR(O2="",O3="",O3=0),"",O2*1000000/O3)</x:f>
      </x:c>
      <x:c r="P4" s="22" t="str">
        <x:f>IF(OR(P2="",P3="",P3=0),"",P2*1000000/P3)</x:f>
      </x:c>
      <x:c r="Q4" s="18" t="str">
        <x:v>SW</x:v>
      </x:c>
      <x:c r="R4" s="18" t="str">
        <x:v>asp</x:v>
      </x:c>
    </x:row>
    <x:row r="5" ht="20" customHeight="1">
      <x:c r="A5" s="14" t="str">
        <x:v>8인치 SW</x:v>
      </x:c>
      <x:c r="B5" s="14" t="str">
        <x:v>8-inch</x:v>
      </x:c>
      <x:c r="C5" s="14" t="str">
        <x:v>4. 매출원가</x:v>
      </x:c>
      <x:c r="D5" s="14" t="str">
        <x:v>백만원</x:v>
      </x:c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18" t="str">
        <x:v>SW</x:v>
      </x:c>
      <x:c r="R5" s="18" t="str">
        <x:v>cogs</x:v>
      </x:c>
    </x:row>
    <x:row r="6" ht="20" customHeight="1">
      <x:c r="A6" s="14" t="str">
        <x:v>8인치 SW</x:v>
      </x:c>
      <x:c r="B6" s="14" t="str">
        <x:v>8-inch</x:v>
      </x:c>
      <x:c r="C6" s="14" t="str">
        <x:v>• 매출원가율</x:v>
      </x:c>
      <x:c r="D6" s="14" t="str">
        <x:v>%</x:v>
      </x:c>
      <x:c r="E6" s="36" t="str">
        <x:f>IF(OR(E5="",E2="",E2=0),"",E5/E2)</x:f>
      </x:c>
      <x:c r="F6" s="36" t="str">
        <x:f>IF(OR(F5="",F2="",F2=0),"",F5/F2)</x:f>
      </x:c>
      <x:c r="G6" s="36" t="str">
        <x:f>IF(OR(G5="",G2="",G2=0),"",G5/G2)</x:f>
      </x:c>
      <x:c r="H6" s="36" t="str">
        <x:f>IF(OR(H5="",H2="",H2=0),"",H5/H2)</x:f>
      </x:c>
      <x:c r="I6" s="36" t="str">
        <x:f>IF(OR(I5="",I2="",I2=0),"",I5/I2)</x:f>
      </x:c>
      <x:c r="J6" s="36" t="str">
        <x:f>IF(OR(J5="",J2="",J2=0),"",J5/J2)</x:f>
      </x:c>
      <x:c r="K6" s="36" t="str">
        <x:f>IF(OR(K5="",K2="",K2=0),"",K5/K2)</x:f>
      </x:c>
      <x:c r="L6" s="36" t="str">
        <x:f>IF(OR(L5="",L2="",L2=0),"",L5/L2)</x:f>
      </x:c>
      <x:c r="M6" s="36" t="str">
        <x:f>IF(OR(M5="",M2="",M2=0),"",M5/M2)</x:f>
      </x:c>
      <x:c r="N6" s="36" t="str">
        <x:f>IF(OR(N5="",N2="",N2=0),"",N5/N2)</x:f>
      </x:c>
      <x:c r="O6" s="36" t="str">
        <x:f>IF(OR(O5="",O2="",O2=0),"",O5/O2)</x:f>
      </x:c>
      <x:c r="P6" s="36" t="str">
        <x:f>IF(OR(P5="",P2="",P2=0),"",P5/P2)</x:f>
      </x:c>
      <x:c r="Q6" s="18" t="str">
        <x:v>SW</x:v>
      </x:c>
      <x:c r="R6" s="18" t="str">
        <x:v>cogs_ratio</x:v>
      </x:c>
    </x:row>
    <x:row r="7" ht="20" customHeight="1">
      <x:c r="A7" s="14" t="str">
        <x:v>8인치 SW</x:v>
      </x:c>
      <x:c r="B7" s="14" t="str">
        <x:v>8-inch</x:v>
      </x:c>
      <x:c r="C7" s="24" t="str">
        <x:v>5. 매출총이익</x:v>
      </x:c>
      <x:c r="D7" s="24" t="str">
        <x:v>백만원</x:v>
      </x:c>
      <x:c r="E7" s="25" t="str">
        <x:f>IF(OR(E2="",E5=""),"",E2-E5)</x:f>
      </x:c>
      <x:c r="F7" s="25" t="str">
        <x:f>IF(OR(F2="",F5=""),"",F2-F5)</x:f>
      </x:c>
      <x:c r="G7" s="25" t="str">
        <x:f>IF(OR(G2="",G5=""),"",G2-G5)</x:f>
      </x:c>
      <x:c r="H7" s="25" t="str">
        <x:f>IF(OR(H2="",H5=""),"",H2-H5)</x:f>
      </x:c>
      <x:c r="I7" s="25" t="str">
        <x:f>IF(OR(I2="",I5=""),"",I2-I5)</x:f>
      </x:c>
      <x:c r="J7" s="25" t="str">
        <x:f>IF(OR(J2="",J5=""),"",J2-J5)</x:f>
      </x:c>
      <x:c r="K7" s="25" t="str">
        <x:f>IF(OR(K2="",K5=""),"",K2-K5)</x:f>
      </x:c>
      <x:c r="L7" s="25" t="str">
        <x:f>IF(OR(L2="",L5=""),"",L2-L5)</x:f>
      </x:c>
      <x:c r="M7" s="25" t="str">
        <x:f>IF(OR(M2="",M5=""),"",M2-M5)</x:f>
      </x:c>
      <x:c r="N7" s="25" t="str">
        <x:f>IF(OR(N2="",N5=""),"",N2-N5)</x:f>
      </x:c>
      <x:c r="O7" s="25" t="str">
        <x:f>IF(OR(O2="",O5=""),"",O2-O5)</x:f>
      </x:c>
      <x:c r="P7" s="25" t="str">
        <x:f>IF(OR(P2="",P5=""),"",P2-P5)</x:f>
      </x:c>
      <x:c r="Q7" s="18" t="str">
        <x:v>SW</x:v>
      </x:c>
      <x:c r="R7" s="18" t="str">
        <x:v>gross_profit</x:v>
      </x:c>
    </x:row>
    <x:row r="8" ht="20" customHeight="1">
      <x:c r="A8" s="14" t="str">
        <x:v>8인치 SW</x:v>
      </x:c>
      <x:c r="B8" s="14" t="str">
        <x:v>8-inch</x:v>
      </x:c>
      <x:c r="C8" s="14" t="str">
        <x:v>• 매출총이익률</x:v>
      </x:c>
      <x:c r="D8" s="14" t="str">
        <x:v>%</x:v>
      </x:c>
      <x:c r="E8" s="36" t="str">
        <x:f>IF(OR(E7="",E2="",E2=0),"",E7/E2)</x:f>
      </x:c>
      <x:c r="F8" s="36" t="str">
        <x:f>IF(OR(F7="",F2="",F2=0),"",F7/F2)</x:f>
      </x:c>
      <x:c r="G8" s="36" t="str">
        <x:f>IF(OR(G7="",G2="",G2=0),"",G7/G2)</x:f>
      </x:c>
      <x:c r="H8" s="36" t="str">
        <x:f>IF(OR(H7="",H2="",H2=0),"",H7/H2)</x:f>
      </x:c>
      <x:c r="I8" s="36" t="str">
        <x:f>IF(OR(I7="",I2="",I2=0),"",I7/I2)</x:f>
      </x:c>
      <x:c r="J8" s="36" t="str">
        <x:f>IF(OR(J7="",J2="",J2=0),"",J7/J2)</x:f>
      </x:c>
      <x:c r="K8" s="36" t="str">
        <x:f>IF(OR(K7="",K2="",K2=0),"",K7/K2)</x:f>
      </x:c>
      <x:c r="L8" s="36" t="str">
        <x:f>IF(OR(L7="",L2="",L2=0),"",L7/L2)</x:f>
      </x:c>
      <x:c r="M8" s="36" t="str">
        <x:f>IF(OR(M7="",M2="",M2=0),"",M7/M2)</x:f>
      </x:c>
      <x:c r="N8" s="36" t="str">
        <x:f>IF(OR(N7="",N2="",N2=0),"",N7/N2)</x:f>
      </x:c>
      <x:c r="O8" s="36" t="str">
        <x:f>IF(OR(O7="",O2="",O2=0),"",O7/O2)</x:f>
      </x:c>
      <x:c r="P8" s="36" t="str">
        <x:f>IF(OR(P7="",P2="",P2=0),"",P7/P2)</x:f>
      </x:c>
      <x:c r="Q8" s="18" t="str">
        <x:v>SW</x:v>
      </x:c>
      <x:c r="R8" s="18" t="str">
        <x:v>gross_margin</x:v>
      </x:c>
    </x:row>
    <x:row r="9" ht="20" customHeight="1">
      <x:c r="A9" s="14" t="str">
        <x:v>8인치 SW</x:v>
      </x:c>
      <x:c r="B9" s="14" t="str">
        <x:v>8-inch</x:v>
      </x:c>
      <x:c r="C9" s="14" t="str">
        <x:v>6. 판매관리비</x:v>
      </x:c>
      <x:c r="D9" s="14" t="str">
        <x:v>백만원</x:v>
      </x:c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18" t="str">
        <x:v>SW</x:v>
      </x:c>
      <x:c r="R9" s="18" t="str">
        <x:v>sga</x:v>
      </x:c>
    </x:row>
    <x:row r="10" ht="20" customHeight="1">
      <x:c r="A10" s="14" t="str">
        <x:v>8인치 SW</x:v>
      </x:c>
      <x:c r="B10" s="14" t="str">
        <x:v>8-inch</x:v>
      </x:c>
      <x:c r="C10" s="24" t="str">
        <x:v>7. 영업이익</x:v>
      </x:c>
      <x:c r="D10" s="24" t="str">
        <x:v>백만원</x:v>
      </x:c>
      <x:c r="E10" s="25" t="str">
        <x:f>IF(OR(E7="",E9=""),"",E7-E9)</x:f>
      </x:c>
      <x:c r="F10" s="25" t="str">
        <x:f>IF(OR(F7="",F9=""),"",F7-F9)</x:f>
      </x:c>
      <x:c r="G10" s="25" t="str">
        <x:f>IF(OR(G7="",G9=""),"",G7-G9)</x:f>
      </x:c>
      <x:c r="H10" s="25" t="str">
        <x:f>IF(OR(H7="",H9=""),"",H7-H9)</x:f>
      </x:c>
      <x:c r="I10" s="25" t="str">
        <x:f>IF(OR(I7="",I9=""),"",I7-I9)</x:f>
      </x:c>
      <x:c r="J10" s="25" t="str">
        <x:f>IF(OR(J7="",J9=""),"",J7-J9)</x:f>
      </x:c>
      <x:c r="K10" s="25" t="str">
        <x:f>IF(OR(K7="",K9=""),"",K7-K9)</x:f>
      </x:c>
      <x:c r="L10" s="25" t="str">
        <x:f>IF(OR(L7="",L9=""),"",L7-L9)</x:f>
      </x:c>
      <x:c r="M10" s="25" t="str">
        <x:f>IF(OR(M7="",M9=""),"",M7-M9)</x:f>
      </x:c>
      <x:c r="N10" s="25" t="str">
        <x:f>IF(OR(N7="",N9=""),"",N7-N9)</x:f>
      </x:c>
      <x:c r="O10" s="25" t="str">
        <x:f>IF(OR(O7="",O9=""),"",O7-O9)</x:f>
      </x:c>
      <x:c r="P10" s="25" t="str">
        <x:f>IF(OR(P7="",P9=""),"",P7-P9)</x:f>
      </x:c>
      <x:c r="Q10" s="18" t="str">
        <x:v>SW</x:v>
      </x:c>
      <x:c r="R10" s="18" t="str">
        <x:v>operating_profit</x:v>
      </x:c>
    </x:row>
    <x:row r="11" ht="20" customHeight="1">
      <x:c r="A11" s="14" t="str">
        <x:v>8인치 SW</x:v>
      </x:c>
      <x:c r="B11" s="14" t="str">
        <x:v>8-inch</x:v>
      </x:c>
      <x:c r="C11" s="14" t="str">
        <x:v>• 영업이익률</x:v>
      </x:c>
      <x:c r="D11" s="14" t="str">
        <x:v>%</x:v>
      </x:c>
      <x:c r="E11" s="36" t="str">
        <x:f>IF(OR(E10="",E2="",E2=0),"",E10/E2)</x:f>
      </x:c>
      <x:c r="F11" s="36" t="str">
        <x:f>IF(OR(F10="",F2="",F2=0),"",F10/F2)</x:f>
      </x:c>
      <x:c r="G11" s="36" t="str">
        <x:f>IF(OR(G10="",G2="",G2=0),"",G10/G2)</x:f>
      </x:c>
      <x:c r="H11" s="36" t="str">
        <x:f>IF(OR(H10="",H2="",H2=0),"",H10/H2)</x:f>
      </x:c>
      <x:c r="I11" s="36" t="str">
        <x:f>IF(OR(I10="",I2="",I2=0),"",I10/I2)</x:f>
      </x:c>
      <x:c r="J11" s="36" t="str">
        <x:f>IF(OR(J10="",J2="",J2=0),"",J10/J2)</x:f>
      </x:c>
      <x:c r="K11" s="36" t="str">
        <x:f>IF(OR(K10="",K2="",K2=0),"",K10/K2)</x:f>
      </x:c>
      <x:c r="L11" s="36" t="str">
        <x:f>IF(OR(L10="",L2="",L2=0),"",L10/L2)</x:f>
      </x:c>
      <x:c r="M11" s="36" t="str">
        <x:f>IF(OR(M10="",M2="",M2=0),"",M10/M2)</x:f>
      </x:c>
      <x:c r="N11" s="36" t="str">
        <x:f>IF(OR(N10="",N2="",N2=0),"",N10/N2)</x:f>
      </x:c>
      <x:c r="O11" s="36" t="str">
        <x:f>IF(OR(O10="",O2="",O2=0),"",O10/O2)</x:f>
      </x:c>
      <x:c r="P11" s="36" t="str">
        <x:f>IF(OR(P10="",P2="",P2=0),"",P10/P2)</x:f>
      </x:c>
      <x:c r="Q11" s="18" t="str">
        <x:v>SW</x:v>
      </x:c>
      <x:c r="R11" s="18" t="str">
        <x:v>operating_margin</x:v>
      </x:c>
    </x:row>
    <x:row r="12" ht="20" customHeight="1">
      <x:c r="A12" s="24" t="str">
        <x:v>8인치 BW</x:v>
      </x:c>
      <x:c r="B12" s="24" t="str">
        <x:v>8-inch</x:v>
      </x:c>
      <x:c r="C12" s="24" t="str">
        <x:v>1. 매출액</x:v>
      </x:c>
      <x:c r="D12" s="24" t="str">
        <x:v>백만원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18" t="str">
        <x:v>BW</x:v>
      </x:c>
      <x:c r="R12" s="18" t="str">
        <x:v>revenue</x:v>
      </x:c>
    </x:row>
    <x:row r="13" ht="20" customHeight="1">
      <x:c r="A13" s="14" t="str">
        <x:v>8인치 BW</x:v>
      </x:c>
      <x:c r="B13" s="14" t="str">
        <x:v>8-inch</x:v>
      </x:c>
      <x:c r="C13" s="14" t="str">
        <x:v>2. 매출수량</x:v>
      </x:c>
      <x:c r="D13" s="14" t="str">
        <x:v>PCS</x:v>
      </x:c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18" t="str">
        <x:v>BW</x:v>
      </x:c>
      <x:c r="R13" s="18" t="str">
        <x:v>volume</x:v>
      </x:c>
    </x:row>
    <x:row r="14" ht="20" customHeight="1">
      <x:c r="A14" s="14" t="str">
        <x:v>8인치 BW</x:v>
      </x:c>
      <x:c r="B14" s="14" t="str">
        <x:v>8-inch</x:v>
      </x:c>
      <x:c r="C14" s="14" t="str">
        <x:v>3. 평균 판매 단가(ASP)</x:v>
      </x:c>
      <x:c r="D14" s="14" t="str">
        <x:v>원</x:v>
      </x:c>
      <x:c r="E14" s="22" t="str">
        <x:f>IF(OR(E12="",E13="",E13=0),"",E12*1000000/E13)</x:f>
      </x:c>
      <x:c r="F14" s="22" t="str">
        <x:f>IF(OR(F12="",F13="",F13=0),"",F12*1000000/F13)</x:f>
      </x:c>
      <x:c r="G14" s="22" t="str">
        <x:f>IF(OR(G12="",G13="",G13=0),"",G12*1000000/G13)</x:f>
      </x:c>
      <x:c r="H14" s="22" t="str">
        <x:f>IF(OR(H12="",H13="",H13=0),"",H12*1000000/H13)</x:f>
      </x:c>
      <x:c r="I14" s="22" t="str">
        <x:f>IF(OR(I12="",I13="",I13=0),"",I12*1000000/I13)</x:f>
      </x:c>
      <x:c r="J14" s="22" t="str">
        <x:f>IF(OR(J12="",J13="",J13=0),"",J12*1000000/J13)</x:f>
      </x:c>
      <x:c r="K14" s="22" t="str">
        <x:f>IF(OR(K12="",K13="",K13=0),"",K12*1000000/K13)</x:f>
      </x:c>
      <x:c r="L14" s="22" t="str">
        <x:f>IF(OR(L12="",L13="",L13=0),"",L12*1000000/L13)</x:f>
      </x:c>
      <x:c r="M14" s="22" t="str">
        <x:f>IF(OR(M12="",M13="",M13=0),"",M12*1000000/M13)</x:f>
      </x:c>
      <x:c r="N14" s="22" t="str">
        <x:f>IF(OR(N12="",N13="",N13=0),"",N12*1000000/N13)</x:f>
      </x:c>
      <x:c r="O14" s="22" t="str">
        <x:f>IF(OR(O12="",O13="",O13=0),"",O12*1000000/O13)</x:f>
      </x:c>
      <x:c r="P14" s="22" t="str">
        <x:f>IF(OR(P12="",P13="",P13=0),"",P12*1000000/P13)</x:f>
      </x:c>
      <x:c r="Q14" s="18" t="str">
        <x:v>BW</x:v>
      </x:c>
      <x:c r="R14" s="18" t="str">
        <x:v>asp</x:v>
      </x:c>
    </x:row>
    <x:row r="15" ht="20" customHeight="1">
      <x:c r="A15" s="14" t="str">
        <x:v>8인치 BW</x:v>
      </x:c>
      <x:c r="B15" s="14" t="str">
        <x:v>8-inch</x:v>
      </x:c>
      <x:c r="C15" s="14" t="str">
        <x:v>4. 매출원가</x:v>
      </x:c>
      <x:c r="D15" s="14" t="str">
        <x:v>백만원</x:v>
      </x:c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18" t="str">
        <x:v>BW</x:v>
      </x:c>
      <x:c r="R15" s="18" t="str">
        <x:v>cogs</x:v>
      </x:c>
    </x:row>
    <x:row r="16" ht="20" customHeight="1">
      <x:c r="A16" s="14" t="str">
        <x:v>8인치 BW</x:v>
      </x:c>
      <x:c r="B16" s="14" t="str">
        <x:v>8-inch</x:v>
      </x:c>
      <x:c r="C16" s="14" t="str">
        <x:v>• 매출원가율</x:v>
      </x:c>
      <x:c r="D16" s="14" t="str">
        <x:v>%</x:v>
      </x:c>
      <x:c r="E16" s="36" t="str">
        <x:f>IF(OR(E15="",E12="",E12=0),"",E15/E12)</x:f>
      </x:c>
      <x:c r="F16" s="36" t="str">
        <x:f>IF(OR(F15="",F12="",F12=0),"",F15/F12)</x:f>
      </x:c>
      <x:c r="G16" s="36" t="str">
        <x:f>IF(OR(G15="",G12="",G12=0),"",G15/G12)</x:f>
      </x:c>
      <x:c r="H16" s="36" t="str">
        <x:f>IF(OR(H15="",H12="",H12=0),"",H15/H12)</x:f>
      </x:c>
      <x:c r="I16" s="36" t="str">
        <x:f>IF(OR(I15="",I12="",I12=0),"",I15/I12)</x:f>
      </x:c>
      <x:c r="J16" s="36" t="str">
        <x:f>IF(OR(J15="",J12="",J12=0),"",J15/J12)</x:f>
      </x:c>
      <x:c r="K16" s="36" t="str">
        <x:f>IF(OR(K15="",K12="",K12=0),"",K15/K12)</x:f>
      </x:c>
      <x:c r="L16" s="36" t="str">
        <x:f>IF(OR(L15="",L12="",L12=0),"",L15/L12)</x:f>
      </x:c>
      <x:c r="M16" s="36" t="str">
        <x:f>IF(OR(M15="",M12="",M12=0),"",M15/M12)</x:f>
      </x:c>
      <x:c r="N16" s="36" t="str">
        <x:f>IF(OR(N15="",N12="",N12=0),"",N15/N12)</x:f>
      </x:c>
      <x:c r="O16" s="36" t="str">
        <x:f>IF(OR(O15="",O12="",O12=0),"",O15/O12)</x:f>
      </x:c>
      <x:c r="P16" s="36" t="str">
        <x:f>IF(OR(P15="",P12="",P12=0),"",P15/P12)</x:f>
      </x:c>
      <x:c r="Q16" s="18" t="str">
        <x:v>BW</x:v>
      </x:c>
      <x:c r="R16" s="18" t="str">
        <x:v>cogs_ratio</x:v>
      </x:c>
    </x:row>
    <x:row r="17" ht="20" customHeight="1">
      <x:c r="A17" s="14" t="str">
        <x:v>8인치 BW</x:v>
      </x:c>
      <x:c r="B17" s="14" t="str">
        <x:v>8-inch</x:v>
      </x:c>
      <x:c r="C17" s="24" t="str">
        <x:v>5. 매출총이익</x:v>
      </x:c>
      <x:c r="D17" s="24" t="str">
        <x:v>백만원</x:v>
      </x:c>
      <x:c r="E17" s="25" t="str">
        <x:f>IF(OR(E12="",E15=""),"",E12-E15)</x:f>
      </x:c>
      <x:c r="F17" s="25" t="str">
        <x:f>IF(OR(F12="",F15=""),"",F12-F15)</x:f>
      </x:c>
      <x:c r="G17" s="25" t="str">
        <x:f>IF(OR(G12="",G15=""),"",G12-G15)</x:f>
      </x:c>
      <x:c r="H17" s="25" t="str">
        <x:f>IF(OR(H12="",H15=""),"",H12-H15)</x:f>
      </x:c>
      <x:c r="I17" s="25" t="str">
        <x:f>IF(OR(I12="",I15=""),"",I12-I15)</x:f>
      </x:c>
      <x:c r="J17" s="25" t="str">
        <x:f>IF(OR(J12="",J15=""),"",J12-J15)</x:f>
      </x:c>
      <x:c r="K17" s="25" t="str">
        <x:f>IF(OR(K12="",K15=""),"",K12-K15)</x:f>
      </x:c>
      <x:c r="L17" s="25" t="str">
        <x:f>IF(OR(L12="",L15=""),"",L12-L15)</x:f>
      </x:c>
      <x:c r="M17" s="25" t="str">
        <x:f>IF(OR(M12="",M15=""),"",M12-M15)</x:f>
      </x:c>
      <x:c r="N17" s="25" t="str">
        <x:f>IF(OR(N12="",N15=""),"",N12-N15)</x:f>
      </x:c>
      <x:c r="O17" s="25" t="str">
        <x:f>IF(OR(O12="",O15=""),"",O12-O15)</x:f>
      </x:c>
      <x:c r="P17" s="25" t="str">
        <x:f>IF(OR(P12="",P15=""),"",P12-P15)</x:f>
      </x:c>
      <x:c r="Q17" s="18" t="str">
        <x:v>BW</x:v>
      </x:c>
      <x:c r="R17" s="18" t="str">
        <x:v>gross_profit</x:v>
      </x:c>
    </x:row>
    <x:row r="18" ht="20" customHeight="1">
      <x:c r="A18" s="14" t="str">
        <x:v>8인치 BW</x:v>
      </x:c>
      <x:c r="B18" s="14" t="str">
        <x:v>8-inch</x:v>
      </x:c>
      <x:c r="C18" s="14" t="str">
        <x:v>• 매출총이익률</x:v>
      </x:c>
      <x:c r="D18" s="14" t="str">
        <x:v>%</x:v>
      </x:c>
      <x:c r="E18" s="36" t="str">
        <x:f>IF(OR(E17="",E12="",E12=0),"",E17/E12)</x:f>
      </x:c>
      <x:c r="F18" s="36" t="str">
        <x:f>IF(OR(F17="",F12="",F12=0),"",F17/F12)</x:f>
      </x:c>
      <x:c r="G18" s="36" t="str">
        <x:f>IF(OR(G17="",G12="",G12=0),"",G17/G12)</x:f>
      </x:c>
      <x:c r="H18" s="36" t="str">
        <x:f>IF(OR(H17="",H12="",H12=0),"",H17/H12)</x:f>
      </x:c>
      <x:c r="I18" s="36" t="str">
        <x:f>IF(OR(I17="",I12="",I12=0),"",I17/I12)</x:f>
      </x:c>
      <x:c r="J18" s="36" t="str">
        <x:f>IF(OR(J17="",J12="",J12=0),"",J17/J12)</x:f>
      </x:c>
      <x:c r="K18" s="36" t="str">
        <x:f>IF(OR(K17="",K12="",K12=0),"",K17/K12)</x:f>
      </x:c>
      <x:c r="L18" s="36" t="str">
        <x:f>IF(OR(L17="",L12="",L12=0),"",L17/L12)</x:f>
      </x:c>
      <x:c r="M18" s="36" t="str">
        <x:f>IF(OR(M17="",M12="",M12=0),"",M17/M12)</x:f>
      </x:c>
      <x:c r="N18" s="36" t="str">
        <x:f>IF(OR(N17="",N12="",N12=0),"",N17/N12)</x:f>
      </x:c>
      <x:c r="O18" s="36" t="str">
        <x:f>IF(OR(O17="",O12="",O12=0),"",O17/O12)</x:f>
      </x:c>
      <x:c r="P18" s="36" t="str">
        <x:f>IF(OR(P17="",P12="",P12=0),"",P17/P12)</x:f>
      </x:c>
      <x:c r="Q18" s="18" t="str">
        <x:v>BW</x:v>
      </x:c>
      <x:c r="R18" s="18" t="str">
        <x:v>gross_margin</x:v>
      </x:c>
    </x:row>
    <x:row r="19" ht="20" customHeight="1">
      <x:c r="A19" s="14" t="str">
        <x:v>8인치 BW</x:v>
      </x:c>
      <x:c r="B19" s="14" t="str">
        <x:v>8-inch</x:v>
      </x:c>
      <x:c r="C19" s="14" t="str">
        <x:v>6. 판매관리비</x:v>
      </x:c>
      <x:c r="D19" s="14" t="str">
        <x:v>백만원</x:v>
      </x:c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18" t="str">
        <x:v>BW</x:v>
      </x:c>
      <x:c r="R19" s="18" t="str">
        <x:v>sga</x:v>
      </x:c>
    </x:row>
    <x:row r="20" ht="20" customHeight="1">
      <x:c r="A20" s="14" t="str">
        <x:v>8인치 BW</x:v>
      </x:c>
      <x:c r="B20" s="14" t="str">
        <x:v>8-inch</x:v>
      </x:c>
      <x:c r="C20" s="24" t="str">
        <x:v>7. 영업이익</x:v>
      </x:c>
      <x:c r="D20" s="24" t="str">
        <x:v>백만원</x:v>
      </x:c>
      <x:c r="E20" s="25" t="str">
        <x:f>IF(OR(E17="",E19=""),"",E17-E19)</x:f>
      </x:c>
      <x:c r="F20" s="25" t="str">
        <x:f>IF(OR(F17="",F19=""),"",F17-F19)</x:f>
      </x:c>
      <x:c r="G20" s="25" t="str">
        <x:f>IF(OR(G17="",G19=""),"",G17-G19)</x:f>
      </x:c>
      <x:c r="H20" s="25" t="str">
        <x:f>IF(OR(H17="",H19=""),"",H17-H19)</x:f>
      </x:c>
      <x:c r="I20" s="25" t="str">
        <x:f>IF(OR(I17="",I19=""),"",I17-I19)</x:f>
      </x:c>
      <x:c r="J20" s="25" t="str">
        <x:f>IF(OR(J17="",J19=""),"",J17-J19)</x:f>
      </x:c>
      <x:c r="K20" s="25" t="str">
        <x:f>IF(OR(K17="",K19=""),"",K17-K19)</x:f>
      </x:c>
      <x:c r="L20" s="25" t="str">
        <x:f>IF(OR(L17="",L19=""),"",L17-L19)</x:f>
      </x:c>
      <x:c r="M20" s="25" t="str">
        <x:f>IF(OR(M17="",M19=""),"",M17-M19)</x:f>
      </x:c>
      <x:c r="N20" s="25" t="str">
        <x:f>IF(OR(N17="",N19=""),"",N17-N19)</x:f>
      </x:c>
      <x:c r="O20" s="25" t="str">
        <x:f>IF(OR(O17="",O19=""),"",O17-O19)</x:f>
      </x:c>
      <x:c r="P20" s="25" t="str">
        <x:f>IF(OR(P17="",P19=""),"",P17-P19)</x:f>
      </x:c>
      <x:c r="Q20" s="18" t="str">
        <x:v>BW</x:v>
      </x:c>
      <x:c r="R20" s="18" t="str">
        <x:v>operating_profit</x:v>
      </x:c>
    </x:row>
    <x:row r="21" ht="20" customHeight="1">
      <x:c r="A21" s="14" t="str">
        <x:v>8인치 BW</x:v>
      </x:c>
      <x:c r="B21" s="14" t="str">
        <x:v>8-inch</x:v>
      </x:c>
      <x:c r="C21" s="14" t="str">
        <x:v>• 영업이익률</x:v>
      </x:c>
      <x:c r="D21" s="14" t="str">
        <x:v>%</x:v>
      </x:c>
      <x:c r="E21" s="36" t="str">
        <x:f>IF(OR(E20="",E12="",E12=0),"",E20/E12)</x:f>
      </x:c>
      <x:c r="F21" s="36" t="str">
        <x:f>IF(OR(F20="",F12="",F12=0),"",F20/F12)</x:f>
      </x:c>
      <x:c r="G21" s="36" t="str">
        <x:f>IF(OR(G20="",G12="",G12=0),"",G20/G12)</x:f>
      </x:c>
      <x:c r="H21" s="36" t="str">
        <x:f>IF(OR(H20="",H12="",H12=0),"",H20/H12)</x:f>
      </x:c>
      <x:c r="I21" s="36" t="str">
        <x:f>IF(OR(I20="",I12="",I12=0),"",I20/I12)</x:f>
      </x:c>
      <x:c r="J21" s="36" t="str">
        <x:f>IF(OR(J20="",J12="",J12=0),"",J20/J12)</x:f>
      </x:c>
      <x:c r="K21" s="36" t="str">
        <x:f>IF(OR(K20="",K12="",K12=0),"",K20/K12)</x:f>
      </x:c>
      <x:c r="L21" s="36" t="str">
        <x:f>IF(OR(L20="",L12="",L12=0),"",L20/L12)</x:f>
      </x:c>
      <x:c r="M21" s="36" t="str">
        <x:f>IF(OR(M20="",M12="",M12=0),"",M20/M12)</x:f>
      </x:c>
      <x:c r="N21" s="36" t="str">
        <x:f>IF(OR(N20="",N12="",N12=0),"",N20/N12)</x:f>
      </x:c>
      <x:c r="O21" s="36" t="str">
        <x:f>IF(OR(O20="",O12="",O12=0),"",O20/O12)</x:f>
      </x:c>
      <x:c r="P21" s="36" t="str">
        <x:f>IF(OR(P20="",P12="",P12=0),"",P20/P12)</x:f>
      </x:c>
      <x:c r="Q21" s="18" t="str">
        <x:v>BW</x:v>
      </x:c>
      <x:c r="R21" s="18" t="str">
        <x:v>operating_margin</x:v>
      </x:c>
    </x:row>
    <x:row r="22" ht="20" customHeight="1">
      <x:c r="A22" s="24" t="str">
        <x:v>4인치 LC</x:v>
      </x:c>
      <x:c r="B22" s="24" t="str">
        <x:v>4-inch</x:v>
      </x:c>
      <x:c r="C22" s="24" t="str">
        <x:v>1. 매출액</x:v>
      </x:c>
      <x:c r="D22" s="24" t="str">
        <x:v>백만원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18" t="str">
        <x:v>LC</x:v>
      </x:c>
      <x:c r="R22" s="18" t="str">
        <x:v>revenue</x:v>
      </x:c>
    </x:row>
    <x:row r="23" ht="20" customHeight="1">
      <x:c r="A23" s="14" t="str">
        <x:v>4인치 LC</x:v>
      </x:c>
      <x:c r="B23" s="14" t="str">
        <x:v>4-inch</x:v>
      </x:c>
      <x:c r="C23" s="14" t="str">
        <x:v>2. 매출수량</x:v>
      </x:c>
      <x:c r="D23" s="14" t="str">
        <x:v>PCS</x:v>
      </x:c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18" t="str">
        <x:v>LC</x:v>
      </x:c>
      <x:c r="R23" s="18" t="str">
        <x:v>volume</x:v>
      </x:c>
    </x:row>
    <x:row r="24" ht="20" customHeight="1">
      <x:c r="A24" s="14" t="str">
        <x:v>4인치 LC</x:v>
      </x:c>
      <x:c r="B24" s="14" t="str">
        <x:v>4-inch</x:v>
      </x:c>
      <x:c r="C24" s="14" t="str">
        <x:v>3. 평균 판매 단가(ASP)</x:v>
      </x:c>
      <x:c r="D24" s="14" t="str">
        <x:v>원</x:v>
      </x:c>
      <x:c r="E24" s="22" t="str">
        <x:f>IF(OR(E22="",E23="",E23=0),"",E22*1000000/E23)</x:f>
      </x:c>
      <x:c r="F24" s="22" t="str">
        <x:f>IF(OR(F22="",F23="",F23=0),"",F22*1000000/F23)</x:f>
      </x:c>
      <x:c r="G24" s="22" t="str">
        <x:f>IF(OR(G22="",G23="",G23=0),"",G22*1000000/G23)</x:f>
      </x:c>
      <x:c r="H24" s="22" t="str">
        <x:f>IF(OR(H22="",H23="",H23=0),"",H22*1000000/H23)</x:f>
      </x:c>
      <x:c r="I24" s="22" t="str">
        <x:f>IF(OR(I22="",I23="",I23=0),"",I22*1000000/I23)</x:f>
      </x:c>
      <x:c r="J24" s="22" t="str">
        <x:f>IF(OR(J22="",J23="",J23=0),"",J22*1000000/J23)</x:f>
      </x:c>
      <x:c r="K24" s="22" t="str">
        <x:f>IF(OR(K22="",K23="",K23=0),"",K22*1000000/K23)</x:f>
      </x:c>
      <x:c r="L24" s="22" t="str">
        <x:f>IF(OR(L22="",L23="",L23=0),"",L22*1000000/L23)</x:f>
      </x:c>
      <x:c r="M24" s="22" t="str">
        <x:f>IF(OR(M22="",M23="",M23=0),"",M22*1000000/M23)</x:f>
      </x:c>
      <x:c r="N24" s="22" t="str">
        <x:f>IF(OR(N22="",N23="",N23=0),"",N22*1000000/N23)</x:f>
      </x:c>
      <x:c r="O24" s="22" t="str">
        <x:f>IF(OR(O22="",O23="",O23=0),"",O22*1000000/O23)</x:f>
      </x:c>
      <x:c r="P24" s="22" t="str">
        <x:f>IF(OR(P22="",P23="",P23=0),"",P22*1000000/P23)</x:f>
      </x:c>
      <x:c r="Q24" s="18" t="str">
        <x:v>LC</x:v>
      </x:c>
      <x:c r="R24" s="18" t="str">
        <x:v>asp</x:v>
      </x:c>
    </x:row>
    <x:row r="25" ht="20" customHeight="1">
      <x:c r="A25" s="14" t="str">
        <x:v>4인치 LC</x:v>
      </x:c>
      <x:c r="B25" s="14" t="str">
        <x:v>4-inch</x:v>
      </x:c>
      <x:c r="C25" s="14" t="str">
        <x:v>4. 매출원가</x:v>
      </x:c>
      <x:c r="D25" s="14" t="str">
        <x:v>백만원</x:v>
      </x:c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18" t="str">
        <x:v>LC</x:v>
      </x:c>
      <x:c r="R25" s="18" t="str">
        <x:v>cogs</x:v>
      </x:c>
    </x:row>
    <x:row r="26" ht="20" customHeight="1">
      <x:c r="A26" s="14" t="str">
        <x:v>4인치 LC</x:v>
      </x:c>
      <x:c r="B26" s="14" t="str">
        <x:v>4-inch</x:v>
      </x:c>
      <x:c r="C26" s="14" t="str">
        <x:v>• 매출원가율</x:v>
      </x:c>
      <x:c r="D26" s="14" t="str">
        <x:v>%</x:v>
      </x:c>
      <x:c r="E26" s="36" t="str">
        <x:f>IF(OR(E25="",E22="",E22=0),"",E25/E22)</x:f>
      </x:c>
      <x:c r="F26" s="36" t="str">
        <x:f>IF(OR(F25="",F22="",F22=0),"",F25/F22)</x:f>
      </x:c>
      <x:c r="G26" s="36" t="str">
        <x:f>IF(OR(G25="",G22="",G22=0),"",G25/G22)</x:f>
      </x:c>
      <x:c r="H26" s="36" t="str">
        <x:f>IF(OR(H25="",H22="",H22=0),"",H25/H22)</x:f>
      </x:c>
      <x:c r="I26" s="36" t="str">
        <x:f>IF(OR(I25="",I22="",I22=0),"",I25/I22)</x:f>
      </x:c>
      <x:c r="J26" s="36" t="str">
        <x:f>IF(OR(J25="",J22="",J22=0),"",J25/J22)</x:f>
      </x:c>
      <x:c r="K26" s="36" t="str">
        <x:f>IF(OR(K25="",K22="",K22=0),"",K25/K22)</x:f>
      </x:c>
      <x:c r="L26" s="36" t="str">
        <x:f>IF(OR(L25="",L22="",L22=0),"",L25/L22)</x:f>
      </x:c>
      <x:c r="M26" s="36" t="str">
        <x:f>IF(OR(M25="",M22="",M22=0),"",M25/M22)</x:f>
      </x:c>
      <x:c r="N26" s="36" t="str">
        <x:f>IF(OR(N25="",N22="",N22=0),"",N25/N22)</x:f>
      </x:c>
      <x:c r="O26" s="36" t="str">
        <x:f>IF(OR(O25="",O22="",O22=0),"",O25/O22)</x:f>
      </x:c>
      <x:c r="P26" s="36" t="str">
        <x:f>IF(OR(P25="",P22="",P22=0),"",P25/P22)</x:f>
      </x:c>
      <x:c r="Q26" s="18" t="str">
        <x:v>LC</x:v>
      </x:c>
      <x:c r="R26" s="18" t="str">
        <x:v>cogs_ratio</x:v>
      </x:c>
    </x:row>
    <x:row r="27" ht="20" customHeight="1">
      <x:c r="A27" s="14" t="str">
        <x:v>4인치 LC</x:v>
      </x:c>
      <x:c r="B27" s="14" t="str">
        <x:v>4-inch</x:v>
      </x:c>
      <x:c r="C27" s="24" t="str">
        <x:v>5. 매출총이익</x:v>
      </x:c>
      <x:c r="D27" s="24" t="str">
        <x:v>백만원</x:v>
      </x:c>
      <x:c r="E27" s="25" t="str">
        <x:f>IF(OR(E22="",E25=""),"",E22-E25)</x:f>
      </x:c>
      <x:c r="F27" s="25" t="str">
        <x:f>IF(OR(F22="",F25=""),"",F22-F25)</x:f>
      </x:c>
      <x:c r="G27" s="25" t="str">
        <x:f>IF(OR(G22="",G25=""),"",G22-G25)</x:f>
      </x:c>
      <x:c r="H27" s="25" t="str">
        <x:f>IF(OR(H22="",H25=""),"",H22-H25)</x:f>
      </x:c>
      <x:c r="I27" s="25" t="str">
        <x:f>IF(OR(I22="",I25=""),"",I22-I25)</x:f>
      </x:c>
      <x:c r="J27" s="25" t="str">
        <x:f>IF(OR(J22="",J25=""),"",J22-J25)</x:f>
      </x:c>
      <x:c r="K27" s="25" t="str">
        <x:f>IF(OR(K22="",K25=""),"",K22-K25)</x:f>
      </x:c>
      <x:c r="L27" s="25" t="str">
        <x:f>IF(OR(L22="",L25=""),"",L22-L25)</x:f>
      </x:c>
      <x:c r="M27" s="25" t="str">
        <x:f>IF(OR(M22="",M25=""),"",M22-M25)</x:f>
      </x:c>
      <x:c r="N27" s="25" t="str">
        <x:f>IF(OR(N22="",N25=""),"",N22-N25)</x:f>
      </x:c>
      <x:c r="O27" s="25" t="str">
        <x:f>IF(OR(O22="",O25=""),"",O22-O25)</x:f>
      </x:c>
      <x:c r="P27" s="25" t="str">
        <x:f>IF(OR(P22="",P25=""),"",P22-P25)</x:f>
      </x:c>
      <x:c r="Q27" s="18" t="str">
        <x:v>LC</x:v>
      </x:c>
      <x:c r="R27" s="18" t="str">
        <x:v>gross_profit</x:v>
      </x:c>
    </x:row>
    <x:row r="28" ht="20" customHeight="1">
      <x:c r="A28" s="14" t="str">
        <x:v>4인치 LC</x:v>
      </x:c>
      <x:c r="B28" s="14" t="str">
        <x:v>4-inch</x:v>
      </x:c>
      <x:c r="C28" s="14" t="str">
        <x:v>• 매출총이익률</x:v>
      </x:c>
      <x:c r="D28" s="14" t="str">
        <x:v>%</x:v>
      </x:c>
      <x:c r="E28" s="36" t="str">
        <x:f>IF(OR(E27="",E22="",E22=0),"",E27/E22)</x:f>
      </x:c>
      <x:c r="F28" s="36" t="str">
        <x:f>IF(OR(F27="",F22="",F22=0),"",F27/F22)</x:f>
      </x:c>
      <x:c r="G28" s="36" t="str">
        <x:f>IF(OR(G27="",G22="",G22=0),"",G27/G22)</x:f>
      </x:c>
      <x:c r="H28" s="36" t="str">
        <x:f>IF(OR(H27="",H22="",H22=0),"",H27/H22)</x:f>
      </x:c>
      <x:c r="I28" s="36" t="str">
        <x:f>IF(OR(I27="",I22="",I22=0),"",I27/I22)</x:f>
      </x:c>
      <x:c r="J28" s="36" t="str">
        <x:f>IF(OR(J27="",J22="",J22=0),"",J27/J22)</x:f>
      </x:c>
      <x:c r="K28" s="36" t="str">
        <x:f>IF(OR(K27="",K22="",K22=0),"",K27/K22)</x:f>
      </x:c>
      <x:c r="L28" s="36" t="str">
        <x:f>IF(OR(L27="",L22="",L22=0),"",L27/L22)</x:f>
      </x:c>
      <x:c r="M28" s="36" t="str">
        <x:f>IF(OR(M27="",M22="",M22=0),"",M27/M22)</x:f>
      </x:c>
      <x:c r="N28" s="36" t="str">
        <x:f>IF(OR(N27="",N22="",N22=0),"",N27/N22)</x:f>
      </x:c>
      <x:c r="O28" s="36" t="str">
        <x:f>IF(OR(O27="",O22="",O22=0),"",O27/O22)</x:f>
      </x:c>
      <x:c r="P28" s="36" t="str">
        <x:f>IF(OR(P27="",P22="",P22=0),"",P27/P22)</x:f>
      </x:c>
      <x:c r="Q28" s="18" t="str">
        <x:v>LC</x:v>
      </x:c>
      <x:c r="R28" s="18" t="str">
        <x:v>gross_margin</x:v>
      </x:c>
    </x:row>
    <x:row r="29" ht="20" customHeight="1">
      <x:c r="A29" s="14" t="str">
        <x:v>4인치 LC</x:v>
      </x:c>
      <x:c r="B29" s="14" t="str">
        <x:v>4-inch</x:v>
      </x:c>
      <x:c r="C29" s="14" t="str">
        <x:v>6. 판매관리비</x:v>
      </x:c>
      <x:c r="D29" s="14" t="str">
        <x:v>백만원</x:v>
      </x:c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18" t="str">
        <x:v>LC</x:v>
      </x:c>
      <x:c r="R29" s="18" t="str">
        <x:v>sga</x:v>
      </x:c>
    </x:row>
    <x:row r="30" ht="20" customHeight="1">
      <x:c r="A30" s="14" t="str">
        <x:v>4인치 LC</x:v>
      </x:c>
      <x:c r="B30" s="14" t="str">
        <x:v>4-inch</x:v>
      </x:c>
      <x:c r="C30" s="24" t="str">
        <x:v>7. 영업이익</x:v>
      </x:c>
      <x:c r="D30" s="24" t="str">
        <x:v>백만원</x:v>
      </x:c>
      <x:c r="E30" s="25" t="str">
        <x:f>IF(OR(E27="",E29=""),"",E27-E29)</x:f>
      </x:c>
      <x:c r="F30" s="25" t="str">
        <x:f>IF(OR(F27="",F29=""),"",F27-F29)</x:f>
      </x:c>
      <x:c r="G30" s="25" t="str">
        <x:f>IF(OR(G27="",G29=""),"",G27-G29)</x:f>
      </x:c>
      <x:c r="H30" s="25" t="str">
        <x:f>IF(OR(H27="",H29=""),"",H27-H29)</x:f>
      </x:c>
      <x:c r="I30" s="25" t="str">
        <x:f>IF(OR(I27="",I29=""),"",I27-I29)</x:f>
      </x:c>
      <x:c r="J30" s="25" t="str">
        <x:f>IF(OR(J27="",J29=""),"",J27-J29)</x:f>
      </x:c>
      <x:c r="K30" s="25" t="str">
        <x:f>IF(OR(K27="",K29=""),"",K27-K29)</x:f>
      </x:c>
      <x:c r="L30" s="25" t="str">
        <x:f>IF(OR(L27="",L29=""),"",L27-L29)</x:f>
      </x:c>
      <x:c r="M30" s="25" t="str">
        <x:f>IF(OR(M27="",M29=""),"",M27-M29)</x:f>
      </x:c>
      <x:c r="N30" s="25" t="str">
        <x:f>IF(OR(N27="",N29=""),"",N27-N29)</x:f>
      </x:c>
      <x:c r="O30" s="25" t="str">
        <x:f>IF(OR(O27="",O29=""),"",O27-O29)</x:f>
      </x:c>
      <x:c r="P30" s="25" t="str">
        <x:f>IF(OR(P27="",P29=""),"",P27-P29)</x:f>
      </x:c>
      <x:c r="Q30" s="18" t="str">
        <x:v>LC</x:v>
      </x:c>
      <x:c r="R30" s="18" t="str">
        <x:v>operating_profit</x:v>
      </x:c>
    </x:row>
    <x:row r="31" ht="20" customHeight="1">
      <x:c r="A31" s="14" t="str">
        <x:v>4인치 LC</x:v>
      </x:c>
      <x:c r="B31" s="14" t="str">
        <x:v>4-inch</x:v>
      </x:c>
      <x:c r="C31" s="14" t="str">
        <x:v>• 영업이익률</x:v>
      </x:c>
      <x:c r="D31" s="14" t="str">
        <x:v>%</x:v>
      </x:c>
      <x:c r="E31" s="36" t="str">
        <x:f>IF(OR(E30="",E22="",E22=0),"",E30/E22)</x:f>
      </x:c>
      <x:c r="F31" s="36" t="str">
        <x:f>IF(OR(F30="",F22="",F22=0),"",F30/F22)</x:f>
      </x:c>
      <x:c r="G31" s="36" t="str">
        <x:f>IF(OR(G30="",G22="",G22=0),"",G30/G22)</x:f>
      </x:c>
      <x:c r="H31" s="36" t="str">
        <x:f>IF(OR(H30="",H22="",H22=0),"",H30/H22)</x:f>
      </x:c>
      <x:c r="I31" s="36" t="str">
        <x:f>IF(OR(I30="",I22="",I22=0),"",I30/I22)</x:f>
      </x:c>
      <x:c r="J31" s="36" t="str">
        <x:f>IF(OR(J30="",J22="",J22=0),"",J30/J22)</x:f>
      </x:c>
      <x:c r="K31" s="36" t="str">
        <x:f>IF(OR(K30="",K22="",K22=0),"",K30/K22)</x:f>
      </x:c>
      <x:c r="L31" s="36" t="str">
        <x:f>IF(OR(L30="",L22="",L22=0),"",L30/L22)</x:f>
      </x:c>
      <x:c r="M31" s="36" t="str">
        <x:f>IF(OR(M30="",M22="",M22=0),"",M30/M22)</x:f>
      </x:c>
      <x:c r="N31" s="36" t="str">
        <x:f>IF(OR(N30="",N22="",N22=0),"",N30/N22)</x:f>
      </x:c>
      <x:c r="O31" s="36" t="str">
        <x:f>IF(OR(O30="",O22="",O22=0),"",O30/O22)</x:f>
      </x:c>
      <x:c r="P31" s="36" t="str">
        <x:f>IF(OR(P30="",P22="",P22=0),"",P30/P22)</x:f>
      </x:c>
      <x:c r="Q31" s="18" t="str">
        <x:v>LC</x:v>
      </x:c>
      <x:c r="R31" s="18" t="str">
        <x:v>operating_margin</x:v>
      </x:c>
    </x:row>
    <x:row r="32" ht="20" customHeight="1">
      <x:c r="A32" s="24" t="str">
        <x:v>FS</x:v>
      </x:c>
      <x:c r="B32" s="24" t="str">
        <x:v>LENGTH</x:v>
      </x:c>
      <x:c r="C32" s="24" t="str">
        <x:v>1. 매출액</x:v>
      </x:c>
      <x:c r="D32" s="24" t="str">
        <x:v>백만원</x:v>
      </x:c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18" t="str">
        <x:v>FS</x:v>
      </x:c>
      <x:c r="R32" s="18" t="str">
        <x:v>revenue</x:v>
      </x:c>
    </x:row>
    <x:row r="33" ht="20" customHeight="1">
      <x:c r="A33" s="14" t="str">
        <x:v>FS</x:v>
      </x:c>
      <x:c r="B33" s="14" t="str">
        <x:v>LENGTH</x:v>
      </x:c>
      <x:c r="C33" s="14" t="str">
        <x:v>2. 매출수량</x:v>
      </x:c>
      <x:c r="D33" s="14" t="str">
        <x:v>m</x:v>
      </x:c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18" t="str">
        <x:v>FS</x:v>
      </x:c>
      <x:c r="R33" s="18" t="str">
        <x:v>volume</x:v>
      </x:c>
    </x:row>
    <x:row r="34" ht="20" customHeight="1">
      <x:c r="A34" s="14" t="str">
        <x:v>FS</x:v>
      </x:c>
      <x:c r="B34" s="14" t="str">
        <x:v>LENGTH</x:v>
      </x:c>
      <x:c r="C34" s="14" t="str">
        <x:v>3. 평균 판매 단가(ASP)</x:v>
      </x:c>
      <x:c r="D34" s="14" t="str">
        <x:v>원</x:v>
      </x:c>
      <x:c r="E34" s="22" t="str">
        <x:f>IF(OR(E32="",E33="",E33=0),"",E32*1000000/E33)</x:f>
      </x:c>
      <x:c r="F34" s="22" t="str">
        <x:f>IF(OR(F32="",F33="",F33=0),"",F32*1000000/F33)</x:f>
      </x:c>
      <x:c r="G34" s="22" t="str">
        <x:f>IF(OR(G32="",G33="",G33=0),"",G32*1000000/G33)</x:f>
      </x:c>
      <x:c r="H34" s="22" t="str">
        <x:f>IF(OR(H32="",H33="",H33=0),"",H32*1000000/H33)</x:f>
      </x:c>
      <x:c r="I34" s="22" t="str">
        <x:f>IF(OR(I32="",I33="",I33=0),"",I32*1000000/I33)</x:f>
      </x:c>
      <x:c r="J34" s="22" t="str">
        <x:f>IF(OR(J32="",J33="",J33=0),"",J32*1000000/J33)</x:f>
      </x:c>
      <x:c r="K34" s="22" t="str">
        <x:f>IF(OR(K32="",K33="",K33=0),"",K32*1000000/K33)</x:f>
      </x:c>
      <x:c r="L34" s="22" t="str">
        <x:f>IF(OR(L32="",L33="",L33=0),"",L32*1000000/L33)</x:f>
      </x:c>
      <x:c r="M34" s="22" t="str">
        <x:f>IF(OR(M32="",M33="",M33=0),"",M32*1000000/M33)</x:f>
      </x:c>
      <x:c r="N34" s="22" t="str">
        <x:f>IF(OR(N32="",N33="",N33=0),"",N32*1000000/N33)</x:f>
      </x:c>
      <x:c r="O34" s="22" t="str">
        <x:f>IF(OR(O32="",O33="",O33=0),"",O32*1000000/O33)</x:f>
      </x:c>
      <x:c r="P34" s="22" t="str">
        <x:f>IF(OR(P32="",P33="",P33=0),"",P32*1000000/P33)</x:f>
      </x:c>
      <x:c r="Q34" s="18" t="str">
        <x:v>FS</x:v>
      </x:c>
      <x:c r="R34" s="18" t="str">
        <x:v>asp</x:v>
      </x:c>
    </x:row>
    <x:row r="35" ht="20" customHeight="1">
      <x:c r="A35" s="14" t="str">
        <x:v>FS</x:v>
      </x:c>
      <x:c r="B35" s="14" t="str">
        <x:v>LENGTH</x:v>
      </x:c>
      <x:c r="C35" s="14" t="str">
        <x:v>4. 매출원가</x:v>
      </x:c>
      <x:c r="D35" s="14" t="str">
        <x:v>백만원</x:v>
      </x:c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18" t="str">
        <x:v>FS</x:v>
      </x:c>
      <x:c r="R35" s="18" t="str">
        <x:v>cogs</x:v>
      </x:c>
    </x:row>
    <x:row r="36" ht="20" customHeight="1">
      <x:c r="A36" s="14" t="str">
        <x:v>FS</x:v>
      </x:c>
      <x:c r="B36" s="14" t="str">
        <x:v>LENGTH</x:v>
      </x:c>
      <x:c r="C36" s="14" t="str">
        <x:v>• 매출원가율</x:v>
      </x:c>
      <x:c r="D36" s="14" t="str">
        <x:v>%</x:v>
      </x:c>
      <x:c r="E36" s="36" t="str">
        <x:f>IF(OR(E35="",E32="",E32=0),"",E35/E32)</x:f>
      </x:c>
      <x:c r="F36" s="36" t="str">
        <x:f>IF(OR(F35="",F32="",F32=0),"",F35/F32)</x:f>
      </x:c>
      <x:c r="G36" s="36" t="str">
        <x:f>IF(OR(G35="",G32="",G32=0),"",G35/G32)</x:f>
      </x:c>
      <x:c r="H36" s="36" t="str">
        <x:f>IF(OR(H35="",H32="",H32=0),"",H35/H32)</x:f>
      </x:c>
      <x:c r="I36" s="36" t="str">
        <x:f>IF(OR(I35="",I32="",I32=0),"",I35/I32)</x:f>
      </x:c>
      <x:c r="J36" s="36" t="str">
        <x:f>IF(OR(J35="",J32="",J32=0),"",J35/J32)</x:f>
      </x:c>
      <x:c r="K36" s="36" t="str">
        <x:f>IF(OR(K35="",K32="",K32=0),"",K35/K32)</x:f>
      </x:c>
      <x:c r="L36" s="36" t="str">
        <x:f>IF(OR(L35="",L32="",L32=0),"",L35/L32)</x:f>
      </x:c>
      <x:c r="M36" s="36" t="str">
        <x:f>IF(OR(M35="",M32="",M32=0),"",M35/M32)</x:f>
      </x:c>
      <x:c r="N36" s="36" t="str">
        <x:f>IF(OR(N35="",N32="",N32=0),"",N35/N32)</x:f>
      </x:c>
      <x:c r="O36" s="36" t="str">
        <x:f>IF(OR(O35="",O32="",O32=0),"",O35/O32)</x:f>
      </x:c>
      <x:c r="P36" s="36" t="str">
        <x:f>IF(OR(P35="",P32="",P32=0),"",P35/P32)</x:f>
      </x:c>
      <x:c r="Q36" s="18" t="str">
        <x:v>FS</x:v>
      </x:c>
      <x:c r="R36" s="18" t="str">
        <x:v>cogs_ratio</x:v>
      </x:c>
    </x:row>
    <x:row r="37" ht="20" customHeight="1">
      <x:c r="A37" s="14" t="str">
        <x:v>FS</x:v>
      </x:c>
      <x:c r="B37" s="14" t="str">
        <x:v>LENGTH</x:v>
      </x:c>
      <x:c r="C37" s="24" t="str">
        <x:v>5. 매출총이익</x:v>
      </x:c>
      <x:c r="D37" s="24" t="str">
        <x:v>백만원</x:v>
      </x:c>
      <x:c r="E37" s="25" t="str">
        <x:f>IF(OR(E32="",E35=""),"",E32-E35)</x:f>
      </x:c>
      <x:c r="F37" s="25" t="str">
        <x:f>IF(OR(F32="",F35=""),"",F32-F35)</x:f>
      </x:c>
      <x:c r="G37" s="25" t="str">
        <x:f>IF(OR(G32="",G35=""),"",G32-G35)</x:f>
      </x:c>
      <x:c r="H37" s="25" t="str">
        <x:f>IF(OR(H32="",H35=""),"",H32-H35)</x:f>
      </x:c>
      <x:c r="I37" s="25" t="str">
        <x:f>IF(OR(I32="",I35=""),"",I32-I35)</x:f>
      </x:c>
      <x:c r="J37" s="25" t="str">
        <x:f>IF(OR(J32="",J35=""),"",J32-J35)</x:f>
      </x:c>
      <x:c r="K37" s="25" t="str">
        <x:f>IF(OR(K32="",K35=""),"",K32-K35)</x:f>
      </x:c>
      <x:c r="L37" s="25" t="str">
        <x:f>IF(OR(L32="",L35=""),"",L32-L35)</x:f>
      </x:c>
      <x:c r="M37" s="25" t="str">
        <x:f>IF(OR(M32="",M35=""),"",M32-M35)</x:f>
      </x:c>
      <x:c r="N37" s="25" t="str">
        <x:f>IF(OR(N32="",N35=""),"",N32-N35)</x:f>
      </x:c>
      <x:c r="O37" s="25" t="str">
        <x:f>IF(OR(O32="",O35=""),"",O32-O35)</x:f>
      </x:c>
      <x:c r="P37" s="25" t="str">
        <x:f>IF(OR(P32="",P35=""),"",P32-P35)</x:f>
      </x:c>
      <x:c r="Q37" s="18" t="str">
        <x:v>FS</x:v>
      </x:c>
      <x:c r="R37" s="18" t="str">
        <x:v>gross_profit</x:v>
      </x:c>
    </x:row>
    <x:row r="38" ht="20" customHeight="1">
      <x:c r="A38" s="14" t="str">
        <x:v>FS</x:v>
      </x:c>
      <x:c r="B38" s="14" t="str">
        <x:v>LENGTH</x:v>
      </x:c>
      <x:c r="C38" s="14" t="str">
        <x:v>• 매출총이익률</x:v>
      </x:c>
      <x:c r="D38" s="14" t="str">
        <x:v>%</x:v>
      </x:c>
      <x:c r="E38" s="36" t="str">
        <x:f>IF(OR(E37="",E32="",E32=0),"",E37/E32)</x:f>
      </x:c>
      <x:c r="F38" s="36" t="str">
        <x:f>IF(OR(F37="",F32="",F32=0),"",F37/F32)</x:f>
      </x:c>
      <x:c r="G38" s="36" t="str">
        <x:f>IF(OR(G37="",G32="",G32=0),"",G37/G32)</x:f>
      </x:c>
      <x:c r="H38" s="36" t="str">
        <x:f>IF(OR(H37="",H32="",H32=0),"",H37/H32)</x:f>
      </x:c>
      <x:c r="I38" s="36" t="str">
        <x:f>IF(OR(I37="",I32="",I32=0),"",I37/I32)</x:f>
      </x:c>
      <x:c r="J38" s="36" t="str">
        <x:f>IF(OR(J37="",J32="",J32=0),"",J37/J32)</x:f>
      </x:c>
      <x:c r="K38" s="36" t="str">
        <x:f>IF(OR(K37="",K32="",K32=0),"",K37/K32)</x:f>
      </x:c>
      <x:c r="L38" s="36" t="str">
        <x:f>IF(OR(L37="",L32="",L32=0),"",L37/L32)</x:f>
      </x:c>
      <x:c r="M38" s="36" t="str">
        <x:f>IF(OR(M37="",M32="",M32=0),"",M37/M32)</x:f>
      </x:c>
      <x:c r="N38" s="36" t="str">
        <x:f>IF(OR(N37="",N32="",N32=0),"",N37/N32)</x:f>
      </x:c>
      <x:c r="O38" s="36" t="str">
        <x:f>IF(OR(O37="",O32="",O32=0),"",O37/O32)</x:f>
      </x:c>
      <x:c r="P38" s="36" t="str">
        <x:f>IF(OR(P37="",P32="",P32=0),"",P37/P32)</x:f>
      </x:c>
      <x:c r="Q38" s="18" t="str">
        <x:v>FS</x:v>
      </x:c>
      <x:c r="R38" s="18" t="str">
        <x:v>gross_margin</x:v>
      </x:c>
    </x:row>
    <x:row r="39" ht="20" customHeight="1">
      <x:c r="A39" s="14" t="str">
        <x:v>FS</x:v>
      </x:c>
      <x:c r="B39" s="14" t="str">
        <x:v>LENGTH</x:v>
      </x:c>
      <x:c r="C39" s="14" t="str">
        <x:v>6. 판매관리비</x:v>
      </x:c>
      <x:c r="D39" s="14" t="str">
        <x:v>백만원</x:v>
      </x:c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18" t="str">
        <x:v>FS</x:v>
      </x:c>
      <x:c r="R39" s="18" t="str">
        <x:v>sga</x:v>
      </x:c>
    </x:row>
    <x:row r="40" ht="20" customHeight="1">
      <x:c r="A40" s="14" t="str">
        <x:v>FS</x:v>
      </x:c>
      <x:c r="B40" s="14" t="str">
        <x:v>LENGTH</x:v>
      </x:c>
      <x:c r="C40" s="24" t="str">
        <x:v>7. 영업이익</x:v>
      </x:c>
      <x:c r="D40" s="24" t="str">
        <x:v>백만원</x:v>
      </x:c>
      <x:c r="E40" s="25" t="str">
        <x:f>IF(OR(E37="",E39=""),"",E37-E39)</x:f>
      </x:c>
      <x:c r="F40" s="25" t="str">
        <x:f>IF(OR(F37="",F39=""),"",F37-F39)</x:f>
      </x:c>
      <x:c r="G40" s="25" t="str">
        <x:f>IF(OR(G37="",G39=""),"",G37-G39)</x:f>
      </x:c>
      <x:c r="H40" s="25" t="str">
        <x:f>IF(OR(H37="",H39=""),"",H37-H39)</x:f>
      </x:c>
      <x:c r="I40" s="25" t="str">
        <x:f>IF(OR(I37="",I39=""),"",I37-I39)</x:f>
      </x:c>
      <x:c r="J40" s="25" t="str">
        <x:f>IF(OR(J37="",J39=""),"",J37-J39)</x:f>
      </x:c>
      <x:c r="K40" s="25" t="str">
        <x:f>IF(OR(K37="",K39=""),"",K37-K39)</x:f>
      </x:c>
      <x:c r="L40" s="25" t="str">
        <x:f>IF(OR(L37="",L39=""),"",L37-L39)</x:f>
      </x:c>
      <x:c r="M40" s="25" t="str">
        <x:f>IF(OR(M37="",M39=""),"",M37-M39)</x:f>
      </x:c>
      <x:c r="N40" s="25" t="str">
        <x:f>IF(OR(N37="",N39=""),"",N37-N39)</x:f>
      </x:c>
      <x:c r="O40" s="25" t="str">
        <x:f>IF(OR(O37="",O39=""),"",O37-O39)</x:f>
      </x:c>
      <x:c r="P40" s="25" t="str">
        <x:f>IF(OR(P37="",P39=""),"",P37-P39)</x:f>
      </x:c>
      <x:c r="Q40" s="18" t="str">
        <x:v>FS</x:v>
      </x:c>
      <x:c r="R40" s="18" t="str">
        <x:v>operating_profit</x:v>
      </x:c>
    </x:row>
    <x:row r="41" ht="20" customHeight="1">
      <x:c r="A41" s="14" t="str">
        <x:v>FS</x:v>
      </x:c>
      <x:c r="B41" s="14" t="str">
        <x:v>LENGTH</x:v>
      </x:c>
      <x:c r="C41" s="14" t="str">
        <x:v>• 영업이익률</x:v>
      </x:c>
      <x:c r="D41" s="14" t="str">
        <x:v>%</x:v>
      </x:c>
      <x:c r="E41" s="36" t="str">
        <x:f>IF(OR(E40="",E32="",E32=0),"",E40/E32)</x:f>
      </x:c>
      <x:c r="F41" s="36" t="str">
        <x:f>IF(OR(F40="",F32="",F32=0),"",F40/F32)</x:f>
      </x:c>
      <x:c r="G41" s="36" t="str">
        <x:f>IF(OR(G40="",G32="",G32=0),"",G40/G32)</x:f>
      </x:c>
      <x:c r="H41" s="36" t="str">
        <x:f>IF(OR(H40="",H32="",H32=0),"",H40/H32)</x:f>
      </x:c>
      <x:c r="I41" s="36" t="str">
        <x:f>IF(OR(I40="",I32="",I32=0),"",I40/I32)</x:f>
      </x:c>
      <x:c r="J41" s="36" t="str">
        <x:f>IF(OR(J40="",J32="",J32=0),"",J40/J32)</x:f>
      </x:c>
      <x:c r="K41" s="36" t="str">
        <x:f>IF(OR(K40="",K32="",K32=0),"",K40/K32)</x:f>
      </x:c>
      <x:c r="L41" s="36" t="str">
        <x:f>IF(OR(L40="",L32="",L32=0),"",L40/L32)</x:f>
      </x:c>
      <x:c r="M41" s="36" t="str">
        <x:f>IF(OR(M40="",M32="",M32=0),"",M40/M32)</x:f>
      </x:c>
      <x:c r="N41" s="36" t="str">
        <x:f>IF(OR(N40="",N32="",N32=0),"",N40/N32)</x:f>
      </x:c>
      <x:c r="O41" s="36" t="str">
        <x:f>IF(OR(O40="",O32="",O32=0),"",O40/O32)</x:f>
      </x:c>
      <x:c r="P41" s="36" t="str">
        <x:f>IF(OR(P40="",P32="",P32=0),"",P40/P32)</x:f>
      </x:c>
      <x:c r="Q41" s="18" t="str">
        <x:v>FS</x:v>
      </x:c>
      <x:c r="R41" s="18" t="str">
        <x:v>operating_margin</x:v>
      </x:c>
    </x:row>
    <x:row r="42" ht="20" customHeight="1">
      <x:c r="A42" s="24" t="str">
        <x:v>신사업</x:v>
      </x:c>
      <x:c r="B42" s="24" t="str">
        <x:v>해당없음</x:v>
      </x:c>
      <x:c r="C42" s="24" t="str">
        <x:v>1. 매출액</x:v>
      </x:c>
      <x:c r="D42" s="24" t="str">
        <x:v>백만원</x:v>
      </x:c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18" t="str">
        <x:v>NEW_BUSINESS</x:v>
      </x:c>
      <x:c r="R42" s="18" t="str">
        <x:v>revenue</x:v>
      </x:c>
    </x:row>
    <x:row r="43" ht="20" customHeight="1">
      <x:c r="A43" s="14" t="str">
        <x:v>신사업</x:v>
      </x:c>
      <x:c r="B43" s="14" t="str">
        <x:v>해당없음</x:v>
      </x:c>
      <x:c r="C43" s="14" t="str">
        <x:v>2. 매출원가</x:v>
      </x:c>
      <x:c r="D43" s="14" t="str">
        <x:v>백만원</x:v>
      </x:c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18" t="str">
        <x:v>NEW_BUSINESS</x:v>
      </x:c>
      <x:c r="R43" s="18" t="str">
        <x:v>cogs</x:v>
      </x:c>
    </x:row>
    <x:row r="44" ht="20" customHeight="1">
      <x:c r="A44" s="14" t="str">
        <x:v>신사업</x:v>
      </x:c>
      <x:c r="B44" s="14" t="str">
        <x:v>해당없음</x:v>
      </x:c>
      <x:c r="C44" s="14" t="str">
        <x:v>• 매출원가율</x:v>
      </x:c>
      <x:c r="D44" s="14" t="str">
        <x:v>%</x:v>
      </x:c>
      <x:c r="E44" s="36" t="str">
        <x:f>IF(OR(E43="",E42="",E42=0),"",E43/E42)</x:f>
      </x:c>
      <x:c r="F44" s="36" t="str">
        <x:f>IF(OR(F43="",F42="",F42=0),"",F43/F42)</x:f>
      </x:c>
      <x:c r="G44" s="36" t="str">
        <x:f>IF(OR(G43="",G42="",G42=0),"",G43/G42)</x:f>
      </x:c>
      <x:c r="H44" s="36" t="str">
        <x:f>IF(OR(H43="",H42="",H42=0),"",H43/H42)</x:f>
      </x:c>
      <x:c r="I44" s="36" t="str">
        <x:f>IF(OR(I43="",I42="",I42=0),"",I43/I42)</x:f>
      </x:c>
      <x:c r="J44" s="36" t="str">
        <x:f>IF(OR(J43="",J42="",J42=0),"",J43/J42)</x:f>
      </x:c>
      <x:c r="K44" s="36" t="str">
        <x:f>IF(OR(K43="",K42="",K42=0),"",K43/K42)</x:f>
      </x:c>
      <x:c r="L44" s="36" t="str">
        <x:f>IF(OR(L43="",L42="",L42=0),"",L43/L42)</x:f>
      </x:c>
      <x:c r="M44" s="36" t="str">
        <x:f>IF(OR(M43="",M42="",M42=0),"",M43/M42)</x:f>
      </x:c>
      <x:c r="N44" s="36" t="str">
        <x:f>IF(OR(N43="",N42="",N42=0),"",N43/N42)</x:f>
      </x:c>
      <x:c r="O44" s="36" t="str">
        <x:f>IF(OR(O43="",O42="",O42=0),"",O43/O42)</x:f>
      </x:c>
      <x:c r="P44" s="36" t="str">
        <x:f>IF(OR(P43="",P42="",P42=0),"",P43/P42)</x:f>
      </x:c>
      <x:c r="Q44" s="18" t="str">
        <x:v>NEW_BUSINESS</x:v>
      </x:c>
      <x:c r="R44" s="18" t="str">
        <x:v>cogs_ratio</x:v>
      </x:c>
    </x:row>
    <x:row r="45" ht="20" customHeight="1">
      <x:c r="A45" s="14" t="str">
        <x:v>신사업</x:v>
      </x:c>
      <x:c r="B45" s="14" t="str">
        <x:v>해당없음</x:v>
      </x:c>
      <x:c r="C45" s="24" t="str">
        <x:v>3. 매출총이익</x:v>
      </x:c>
      <x:c r="D45" s="24" t="str">
        <x:v>백만원</x:v>
      </x:c>
      <x:c r="E45" s="25" t="str">
        <x:f>IF(OR(E42="",E43=""),"",E42-E43)</x:f>
      </x:c>
      <x:c r="F45" s="25" t="str">
        <x:f>IF(OR(F42="",F43=""),"",F42-F43)</x:f>
      </x:c>
      <x:c r="G45" s="25" t="str">
        <x:f>IF(OR(G42="",G43=""),"",G42-G43)</x:f>
      </x:c>
      <x:c r="H45" s="25" t="str">
        <x:f>IF(OR(H42="",H43=""),"",H42-H43)</x:f>
      </x:c>
      <x:c r="I45" s="25" t="str">
        <x:f>IF(OR(I42="",I43=""),"",I42-I43)</x:f>
      </x:c>
      <x:c r="J45" s="25" t="str">
        <x:f>IF(OR(J42="",J43=""),"",J42-J43)</x:f>
      </x:c>
      <x:c r="K45" s="25" t="str">
        <x:f>IF(OR(K42="",K43=""),"",K42-K43)</x:f>
      </x:c>
      <x:c r="L45" s="25" t="str">
        <x:f>IF(OR(L42="",L43=""),"",L42-L43)</x:f>
      </x:c>
      <x:c r="M45" s="25" t="str">
        <x:f>IF(OR(M42="",M43=""),"",M42-M43)</x:f>
      </x:c>
      <x:c r="N45" s="25" t="str">
        <x:f>IF(OR(N42="",N43=""),"",N42-N43)</x:f>
      </x:c>
      <x:c r="O45" s="25" t="str">
        <x:f>IF(OR(O42="",O43=""),"",O42-O43)</x:f>
      </x:c>
      <x:c r="P45" s="25" t="str">
        <x:f>IF(OR(P42="",P43=""),"",P42-P43)</x:f>
      </x:c>
      <x:c r="Q45" s="18" t="str">
        <x:v>NEW_BUSINESS</x:v>
      </x:c>
      <x:c r="R45" s="18" t="str">
        <x:v>gross_profit</x:v>
      </x:c>
    </x:row>
    <x:row r="46" ht="20" customHeight="1">
      <x:c r="A46" s="14" t="str">
        <x:v>신사업</x:v>
      </x:c>
      <x:c r="B46" s="14" t="str">
        <x:v>해당없음</x:v>
      </x:c>
      <x:c r="C46" s="14" t="str">
        <x:v>• 매출총이익률</x:v>
      </x:c>
      <x:c r="D46" s="14" t="str">
        <x:v>%</x:v>
      </x:c>
      <x:c r="E46" s="36" t="str">
        <x:f>IF(OR(E45="",E42="",E42=0),"",E45/E42)</x:f>
      </x:c>
      <x:c r="F46" s="36" t="str">
        <x:f>IF(OR(F45="",F42="",F42=0),"",F45/F42)</x:f>
      </x:c>
      <x:c r="G46" s="36" t="str">
        <x:f>IF(OR(G45="",G42="",G42=0),"",G45/G42)</x:f>
      </x:c>
      <x:c r="H46" s="36" t="str">
        <x:f>IF(OR(H45="",H42="",H42=0),"",H45/H42)</x:f>
      </x:c>
      <x:c r="I46" s="36" t="str">
        <x:f>IF(OR(I45="",I42="",I42=0),"",I45/I42)</x:f>
      </x:c>
      <x:c r="J46" s="36" t="str">
        <x:f>IF(OR(J45="",J42="",J42=0),"",J45/J42)</x:f>
      </x:c>
      <x:c r="K46" s="36" t="str">
        <x:f>IF(OR(K45="",K42="",K42=0),"",K45/K42)</x:f>
      </x:c>
      <x:c r="L46" s="36" t="str">
        <x:f>IF(OR(L45="",L42="",L42=0),"",L45/L42)</x:f>
      </x:c>
      <x:c r="M46" s="36" t="str">
        <x:f>IF(OR(M45="",M42="",M42=0),"",M45/M42)</x:f>
      </x:c>
      <x:c r="N46" s="36" t="str">
        <x:f>IF(OR(N45="",N42="",N42=0),"",N45/N42)</x:f>
      </x:c>
      <x:c r="O46" s="36" t="str">
        <x:f>IF(OR(O45="",O42="",O42=0),"",O45/O42)</x:f>
      </x:c>
      <x:c r="P46" s="36" t="str">
        <x:f>IF(OR(P45="",P42="",P42=0),"",P45/P42)</x:f>
      </x:c>
      <x:c r="Q46" s="18" t="str">
        <x:v>NEW_BUSINESS</x:v>
      </x:c>
      <x:c r="R46" s="18" t="str">
        <x:v>gross_margin</x:v>
      </x:c>
    </x:row>
    <x:row r="47" ht="20" customHeight="1">
      <x:c r="A47" s="14" t="str">
        <x:v>신사업</x:v>
      </x:c>
      <x:c r="B47" s="14" t="str">
        <x:v>해당없음</x:v>
      </x:c>
      <x:c r="C47" s="14" t="str">
        <x:v>4. 판매관리비</x:v>
      </x:c>
      <x:c r="D47" s="14" t="str">
        <x:v>백만원</x:v>
      </x:c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18" t="str">
        <x:v>NEW_BUSINESS</x:v>
      </x:c>
      <x:c r="R47" s="18" t="str">
        <x:v>sga</x:v>
      </x:c>
    </x:row>
    <x:row r="48" ht="20" customHeight="1">
      <x:c r="A48" s="14" t="str">
        <x:v>신사업</x:v>
      </x:c>
      <x:c r="B48" s="14" t="str">
        <x:v>해당없음</x:v>
      </x:c>
      <x:c r="C48" s="24" t="str">
        <x:v>5. 영업이익</x:v>
      </x:c>
      <x:c r="D48" s="24" t="str">
        <x:v>백만원</x:v>
      </x:c>
      <x:c r="E48" s="25" t="str">
        <x:f>IF(OR(E45="",E47=""),"",E45-E47)</x:f>
      </x:c>
      <x:c r="F48" s="25" t="str">
        <x:f>IF(OR(F45="",F47=""),"",F45-F47)</x:f>
      </x:c>
      <x:c r="G48" s="25" t="str">
        <x:f>IF(OR(G45="",G47=""),"",G45-G47)</x:f>
      </x:c>
      <x:c r="H48" s="25" t="str">
        <x:f>IF(OR(H45="",H47=""),"",H45-H47)</x:f>
      </x:c>
      <x:c r="I48" s="25" t="str">
        <x:f>IF(OR(I45="",I47=""),"",I45-I47)</x:f>
      </x:c>
      <x:c r="J48" s="25" t="str">
        <x:f>IF(OR(J45="",J47=""),"",J45-J47)</x:f>
      </x:c>
      <x:c r="K48" s="25" t="str">
        <x:f>IF(OR(K45="",K47=""),"",K45-K47)</x:f>
      </x:c>
      <x:c r="L48" s="25" t="str">
        <x:f>IF(OR(L45="",L47=""),"",L45-L47)</x:f>
      </x:c>
      <x:c r="M48" s="25" t="str">
        <x:f>IF(OR(M45="",M47=""),"",M45-M47)</x:f>
      </x:c>
      <x:c r="N48" s="25" t="str">
        <x:f>IF(OR(N45="",N47=""),"",N45-N47)</x:f>
      </x:c>
      <x:c r="O48" s="25" t="str">
        <x:f>IF(OR(O45="",O47=""),"",O45-O47)</x:f>
      </x:c>
      <x:c r="P48" s="25" t="str">
        <x:f>IF(OR(P45="",P47=""),"",P45-P47)</x:f>
      </x:c>
      <x:c r="Q48" s="18" t="str">
        <x:v>NEW_BUSINESS</x:v>
      </x:c>
      <x:c r="R48" s="18" t="str">
        <x:v>operating_profit</x:v>
      </x:c>
    </x:row>
    <x:row r="49" ht="20" customHeight="1">
      <x:c r="A49" s="14" t="str">
        <x:v>신사업</x:v>
      </x:c>
      <x:c r="B49" s="14" t="str">
        <x:v>해당없음</x:v>
      </x:c>
      <x:c r="C49" s="14" t="str">
        <x:v>• 영업이익률</x:v>
      </x:c>
      <x:c r="D49" s="14" t="str">
        <x:v>%</x:v>
      </x:c>
      <x:c r="E49" s="36" t="str">
        <x:f>IF(OR(E48="",E42="",E42=0),"",E48/E42)</x:f>
      </x:c>
      <x:c r="F49" s="36" t="str">
        <x:f>IF(OR(F48="",F42="",F42=0),"",F48/F42)</x:f>
      </x:c>
      <x:c r="G49" s="36" t="str">
        <x:f>IF(OR(G48="",G42="",G42=0),"",G48/G42)</x:f>
      </x:c>
      <x:c r="H49" s="36" t="str">
        <x:f>IF(OR(H48="",H42="",H42=0),"",H48/H42)</x:f>
      </x:c>
      <x:c r="I49" s="36" t="str">
        <x:f>IF(OR(I48="",I42="",I42=0),"",I48/I42)</x:f>
      </x:c>
      <x:c r="J49" s="36" t="str">
        <x:f>IF(OR(J48="",J42="",J42=0),"",J48/J42)</x:f>
      </x:c>
      <x:c r="K49" s="36" t="str">
        <x:f>IF(OR(K48="",K42="",K42=0),"",K48/K42)</x:f>
      </x:c>
      <x:c r="L49" s="36" t="str">
        <x:f>IF(OR(L48="",L42="",L42=0),"",L48/L42)</x:f>
      </x:c>
      <x:c r="M49" s="36" t="str">
        <x:f>IF(OR(M48="",M42="",M42=0),"",M48/M42)</x:f>
      </x:c>
      <x:c r="N49" s="36" t="str">
        <x:f>IF(OR(N48="",N42="",N42=0),"",N48/N42)</x:f>
      </x:c>
      <x:c r="O49" s="36" t="str">
        <x:f>IF(OR(O48="",O42="",O42=0),"",O48/O42)</x:f>
      </x:c>
      <x:c r="P49" s="36" t="str">
        <x:f>IF(OR(P48="",P42="",P42=0),"",P48/P42)</x:f>
      </x:c>
      <x:c r="Q49" s="18" t="str">
        <x:v>NEW_BUSINESS</x:v>
      </x:c>
      <x:c r="R49" s="18" t="str">
        <x:v>operating_margin</x:v>
      </x:c>
    </x:row>
    <x:row r="50" ht="20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</x:row>
    <x:row r="51" ht="20" customHeight="1">
      <x:c r="A51" s="58" t="str">
        <x:v>입력칸</x:v>
      </x:c>
      <x:c r="B51" s="59" t="str">
        <x:v>자동계산</x:v>
      </x:c>
      <x:c r="C51" s="60" t="str">
        <x:v>고정정보</x:v>
      </x:c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</x:row>
    <x:row r="52" ht="30" customHeight="1">
      <x:c r="A52" s="66" t="str">
        <x:v>파란색 월 셀만 입력 | PLAN: 1~12월 입력 | ACTUAL: 기준월까지만 입력, 미래월은 빈칸 | 실제 값이 0이면 0 입력</x:v>
      </x:c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</x:row>
  </x:sheetData>
  <x:mergeCells>
    <x:mergeCell ref="A52:P52"/>
  </x:mergeCells>
  <x:pageMargins left="0.7" right="0.7" top="0.75" bottom="0.75" header="0.3" footer="0.3"/>
</x:worksheet>
</file>